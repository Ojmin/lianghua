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PycharmProjects\pythonProject\"/>
    </mc:Choice>
  </mc:AlternateContent>
  <xr:revisionPtr revIDLastSave="0" documentId="13_ncr:1_{92B3F546-C5AB-4391-83E2-8A3D64BCAE05}" xr6:coauthVersionLast="45" xr6:coauthVersionMax="45" xr10:uidLastSave="{00000000-0000-0000-0000-000000000000}"/>
  <bookViews>
    <workbookView xWindow="-120" yWindow="-120" windowWidth="29040" windowHeight="15840" activeTab="8" xr2:uid="{00000000-000D-0000-FFFF-FFFF00000000}"/>
  </bookViews>
  <sheets>
    <sheet name="主监控" sheetId="23" r:id="rId1"/>
    <sheet name="监控" sheetId="7" r:id="rId2"/>
    <sheet name="实时行情7" sheetId="14" r:id="rId3"/>
    <sheet name="164906" sheetId="18" r:id="rId4"/>
    <sheet name="513050" sheetId="20" r:id="rId5"/>
    <sheet name="两市场交易" sheetId="21" r:id="rId6"/>
    <sheet name="仓位" sheetId="22" r:id="rId7"/>
    <sheet name="跨境" sheetId="24" r:id="rId8"/>
    <sheet name="跨境基金" sheetId="25" r:id="rId9"/>
  </sheets>
  <functionGroups builtInGroupCount="19"/>
  <externalReferences>
    <externalReference r:id="rId10"/>
  </externalReferences>
  <calcPr calcId="191029" concurrentManualCount="2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20" l="1" a="1"/>
  <c r="L3" i="20" s="1"/>
  <c r="L3" i="21" a="1"/>
  <c r="L3" i="21" s="1"/>
  <c r="L3" i="22" a="1"/>
  <c r="L3" i="22" s="1"/>
  <c r="L3" i="24" a="1"/>
  <c r="L3" i="24" s="1"/>
  <c r="L9" i="25" a="1"/>
  <c r="L8" i="25" a="1"/>
  <c r="L7" i="25" a="1"/>
  <c r="L6" i="25" a="1"/>
  <c r="K9" i="25" a="1"/>
  <c r="K8" i="25" a="1"/>
  <c r="K7" i="25" a="1"/>
  <c r="K6" i="25" a="1"/>
  <c r="L5" i="25" a="1"/>
  <c r="K5" i="25" a="1"/>
  <c r="L4" i="25" a="1"/>
  <c r="K4" i="25" a="1"/>
  <c r="L3" i="25" a="1"/>
  <c r="K3" i="25" a="1"/>
  <c r="L2" i="25" a="1"/>
  <c r="K2" i="25" a="1"/>
  <c r="L6" i="20" a="1"/>
  <c r="K6" i="20" a="1"/>
  <c r="L5" i="20" a="1"/>
  <c r="K5" i="20" a="1"/>
  <c r="L4" i="20" a="1"/>
  <c r="K4" i="20" a="1"/>
  <c r="K3" i="20" a="1"/>
  <c r="L2" i="20" a="1"/>
  <c r="K2" i="20" a="1"/>
  <c r="L6" i="21" a="1"/>
  <c r="K6" i="21" a="1"/>
  <c r="L5" i="21" a="1"/>
  <c r="K5" i="21" a="1"/>
  <c r="L4" i="21" a="1"/>
  <c r="K4" i="21" a="1"/>
  <c r="K3" i="21" a="1"/>
  <c r="L2" i="21" a="1"/>
  <c r="K2" i="21" a="1"/>
  <c r="L6" i="22" a="1"/>
  <c r="K6" i="22" a="1"/>
  <c r="L5" i="22" a="1"/>
  <c r="K5" i="22" a="1"/>
  <c r="L4" i="22" a="1"/>
  <c r="K4" i="22" a="1"/>
  <c r="K3" i="22" a="1"/>
  <c r="L2" i="22" a="1"/>
  <c r="K2" i="22" a="1"/>
  <c r="L6" i="24" a="1"/>
  <c r="K6" i="24" a="1"/>
  <c r="L5" i="24" a="1"/>
  <c r="K5" i="24" a="1"/>
  <c r="L4" i="24" a="1"/>
  <c r="K4" i="24" a="1"/>
  <c r="K3" i="24" a="1"/>
  <c r="L2" i="24" a="1"/>
  <c r="K2" i="24" a="1"/>
  <c r="L9" i="25" l="1"/>
  <c r="L8" i="25"/>
  <c r="L7" i="25"/>
  <c r="L6" i="25"/>
  <c r="K9" i="25"/>
  <c r="K8" i="25"/>
  <c r="K7" i="25"/>
  <c r="K6" i="25"/>
  <c r="L5" i="25"/>
  <c r="K5" i="25"/>
  <c r="L4" i="25"/>
  <c r="K4" i="25"/>
  <c r="L3" i="25"/>
  <c r="K3" i="25"/>
  <c r="L2" i="25"/>
  <c r="K2" i="25"/>
  <c r="L6" i="20"/>
  <c r="K6" i="20"/>
  <c r="L5" i="20"/>
  <c r="K5" i="20"/>
  <c r="L4" i="20"/>
  <c r="K4" i="20"/>
  <c r="K3" i="20"/>
  <c r="L2" i="20"/>
  <c r="K2" i="20"/>
  <c r="L6" i="21"/>
  <c r="K6" i="21"/>
  <c r="L5" i="21"/>
  <c r="K5" i="21"/>
  <c r="L4" i="21"/>
  <c r="K4" i="21"/>
  <c r="K3" i="21"/>
  <c r="L2" i="21"/>
  <c r="K2" i="21"/>
  <c r="L6" i="22"/>
  <c r="K6" i="22"/>
  <c r="L5" i="22"/>
  <c r="K5" i="22"/>
  <c r="L4" i="22"/>
  <c r="K4" i="22"/>
  <c r="K3" i="22"/>
  <c r="L2" i="22"/>
  <c r="K2" i="22"/>
  <c r="L6" i="24"/>
  <c r="K6" i="24"/>
  <c r="L5" i="24"/>
  <c r="K5" i="24"/>
  <c r="L4" i="24"/>
  <c r="K4" i="24"/>
  <c r="K3" i="24"/>
  <c r="L2" i="24"/>
  <c r="K2" i="24"/>
  <c r="K9" i="24" a="1"/>
  <c r="L9" i="24" a="1"/>
  <c r="L8" i="24" a="1"/>
  <c r="K8" i="24" a="1"/>
  <c r="K7" i="24" a="1"/>
  <c r="K9" i="24" l="1"/>
  <c r="L9" i="24"/>
  <c r="L8" i="24"/>
  <c r="K8" i="24"/>
  <c r="K7" i="24"/>
  <c r="F5" i="25" l="1"/>
  <c r="E5" i="25"/>
  <c r="D5" i="25"/>
  <c r="G5" i="25" s="1"/>
  <c r="J3" i="25"/>
  <c r="D3" i="25" s="1"/>
  <c r="F3" i="25"/>
  <c r="E3" i="25"/>
  <c r="G3" i="25" s="1"/>
  <c r="D2" i="25"/>
  <c r="G2" i="25" s="1"/>
  <c r="L70" i="24"/>
  <c r="K70" i="24"/>
  <c r="J70" i="24"/>
  <c r="I70" i="24"/>
  <c r="H70" i="24"/>
  <c r="G70" i="24"/>
  <c r="F70" i="24"/>
  <c r="E70" i="24"/>
  <c r="D70" i="24"/>
  <c r="C70" i="24"/>
  <c r="L69" i="24"/>
  <c r="K69" i="24"/>
  <c r="J69" i="24"/>
  <c r="I69" i="24"/>
  <c r="H69" i="24"/>
  <c r="G69" i="24"/>
  <c r="F69" i="24"/>
  <c r="E69" i="24"/>
  <c r="D69" i="24"/>
  <c r="C69" i="24"/>
  <c r="L68" i="24"/>
  <c r="K68" i="24"/>
  <c r="J68" i="24"/>
  <c r="I68" i="24"/>
  <c r="H68" i="24"/>
  <c r="G68" i="24"/>
  <c r="F68" i="24"/>
  <c r="E68" i="24"/>
  <c r="D68" i="24"/>
  <c r="C68" i="24"/>
  <c r="L67" i="24"/>
  <c r="K67" i="24"/>
  <c r="J67" i="24"/>
  <c r="I67" i="24"/>
  <c r="H67" i="24"/>
  <c r="G67" i="24"/>
  <c r="F67" i="24"/>
  <c r="E67" i="24"/>
  <c r="D67" i="24"/>
  <c r="C67" i="24"/>
  <c r="L66" i="24"/>
  <c r="K66" i="24"/>
  <c r="J66" i="24"/>
  <c r="I66" i="24"/>
  <c r="H66" i="24"/>
  <c r="G66" i="24"/>
  <c r="F66" i="24"/>
  <c r="E66" i="24"/>
  <c r="D66" i="24"/>
  <c r="C66" i="24"/>
  <c r="L65" i="24"/>
  <c r="K65" i="24"/>
  <c r="J65" i="24"/>
  <c r="I65" i="24"/>
  <c r="H65" i="24"/>
  <c r="G65" i="24"/>
  <c r="F65" i="24"/>
  <c r="E65" i="24"/>
  <c r="D65" i="24"/>
  <c r="C65" i="24"/>
  <c r="L64" i="24"/>
  <c r="K64" i="24"/>
  <c r="J64" i="24"/>
  <c r="I64" i="24"/>
  <c r="H64" i="24"/>
  <c r="G64" i="24"/>
  <c r="F64" i="24"/>
  <c r="E64" i="24"/>
  <c r="D64" i="24"/>
  <c r="C64" i="24"/>
  <c r="L63" i="24"/>
  <c r="K63" i="24"/>
  <c r="J63" i="24"/>
  <c r="I63" i="24"/>
  <c r="H63" i="24"/>
  <c r="G63" i="24"/>
  <c r="F63" i="24"/>
  <c r="E63" i="24"/>
  <c r="D63" i="24"/>
  <c r="C63" i="24"/>
  <c r="L62" i="24"/>
  <c r="K62" i="24"/>
  <c r="J62" i="24"/>
  <c r="I62" i="24"/>
  <c r="H62" i="24"/>
  <c r="G62" i="24"/>
  <c r="F62" i="24"/>
  <c r="E62" i="24"/>
  <c r="D62" i="24"/>
  <c r="C62" i="24"/>
  <c r="L61" i="24"/>
  <c r="K61" i="24"/>
  <c r="J61" i="24"/>
  <c r="I61" i="24"/>
  <c r="H61" i="24"/>
  <c r="G61" i="24"/>
  <c r="F61" i="24"/>
  <c r="E61" i="24"/>
  <c r="D61" i="24"/>
  <c r="O61" i="24" s="1"/>
  <c r="C61" i="24"/>
  <c r="L60" i="24"/>
  <c r="K60" i="24"/>
  <c r="J60" i="24"/>
  <c r="I60" i="24"/>
  <c r="H60" i="24"/>
  <c r="G60" i="24"/>
  <c r="F60" i="24"/>
  <c r="E60" i="24"/>
  <c r="D60" i="24"/>
  <c r="C60" i="24"/>
  <c r="L59" i="24"/>
  <c r="K59" i="24"/>
  <c r="J59" i="24"/>
  <c r="I59" i="24"/>
  <c r="H59" i="24"/>
  <c r="G59" i="24"/>
  <c r="F59" i="24"/>
  <c r="E25" i="23" s="1"/>
  <c r="E59" i="24"/>
  <c r="D59" i="24"/>
  <c r="C59" i="24"/>
  <c r="L58" i="24"/>
  <c r="K58" i="24"/>
  <c r="J58" i="24"/>
  <c r="I58" i="24"/>
  <c r="H58" i="24"/>
  <c r="G58" i="24"/>
  <c r="F58" i="24"/>
  <c r="E58" i="24"/>
  <c r="D58" i="24"/>
  <c r="C58" i="24"/>
  <c r="L57" i="24"/>
  <c r="K57" i="24"/>
  <c r="J57" i="24"/>
  <c r="I57" i="24"/>
  <c r="H57" i="24"/>
  <c r="G57" i="24"/>
  <c r="F57" i="24"/>
  <c r="E23" i="23" s="1"/>
  <c r="E57" i="24"/>
  <c r="D57" i="24"/>
  <c r="C57" i="24"/>
  <c r="L56" i="24"/>
  <c r="K56" i="24"/>
  <c r="J56" i="24"/>
  <c r="I56" i="24"/>
  <c r="H56" i="24"/>
  <c r="G56" i="24"/>
  <c r="F56" i="24"/>
  <c r="E56" i="24"/>
  <c r="D56" i="24"/>
  <c r="C56" i="24"/>
  <c r="L55" i="24"/>
  <c r="K55" i="24"/>
  <c r="J55" i="24"/>
  <c r="I55" i="24"/>
  <c r="H55" i="24"/>
  <c r="G55" i="24"/>
  <c r="F55" i="24"/>
  <c r="E55" i="24"/>
  <c r="D55" i="24"/>
  <c r="C55" i="24"/>
  <c r="L54" i="24"/>
  <c r="K54" i="24"/>
  <c r="J54" i="24"/>
  <c r="I54" i="24"/>
  <c r="H54" i="24"/>
  <c r="G54" i="24"/>
  <c r="F54" i="24"/>
  <c r="E54" i="24"/>
  <c r="D54" i="24"/>
  <c r="C54" i="24"/>
  <c r="L53" i="24"/>
  <c r="K53" i="24"/>
  <c r="J53" i="24"/>
  <c r="I53" i="24"/>
  <c r="H53" i="24"/>
  <c r="G53" i="24"/>
  <c r="F53" i="24"/>
  <c r="E19" i="23" s="1"/>
  <c r="E53" i="24"/>
  <c r="D53" i="24"/>
  <c r="O53" i="24" s="1"/>
  <c r="J19" i="23" s="1"/>
  <c r="C53" i="24"/>
  <c r="L52" i="24"/>
  <c r="K52" i="24"/>
  <c r="J52" i="24"/>
  <c r="I52" i="24"/>
  <c r="H52" i="24"/>
  <c r="G52" i="24"/>
  <c r="F52" i="24"/>
  <c r="E52" i="24"/>
  <c r="D52" i="24"/>
  <c r="C52" i="24"/>
  <c r="L51" i="24"/>
  <c r="K51" i="24"/>
  <c r="J51" i="24"/>
  <c r="I51" i="24"/>
  <c r="H51" i="24"/>
  <c r="G51" i="24"/>
  <c r="F51" i="24"/>
  <c r="E18" i="23" s="1"/>
  <c r="E51" i="24"/>
  <c r="D51" i="24"/>
  <c r="O51" i="24" s="1"/>
  <c r="J18" i="23" s="1"/>
  <c r="C51" i="24"/>
  <c r="L50" i="24"/>
  <c r="K50" i="24"/>
  <c r="J50" i="24"/>
  <c r="I50" i="24"/>
  <c r="H50" i="24"/>
  <c r="G50" i="24"/>
  <c r="F50" i="24"/>
  <c r="E50" i="24"/>
  <c r="D50" i="24"/>
  <c r="C50" i="24"/>
  <c r="L49" i="24"/>
  <c r="K49" i="24"/>
  <c r="J49" i="24"/>
  <c r="I49" i="24"/>
  <c r="H49" i="24"/>
  <c r="G49" i="24"/>
  <c r="F49" i="24"/>
  <c r="E17" i="23" s="1"/>
  <c r="E49" i="24"/>
  <c r="D49" i="24"/>
  <c r="C49" i="24"/>
  <c r="L48" i="24"/>
  <c r="K48" i="24"/>
  <c r="J48" i="24"/>
  <c r="I48" i="24"/>
  <c r="H48" i="24"/>
  <c r="G48" i="24"/>
  <c r="F48" i="24"/>
  <c r="E48" i="24"/>
  <c r="D48" i="24"/>
  <c r="C48" i="24"/>
  <c r="L47" i="24"/>
  <c r="K47" i="24"/>
  <c r="J47" i="24"/>
  <c r="I47" i="24"/>
  <c r="H47" i="24"/>
  <c r="G47" i="24"/>
  <c r="F47" i="24"/>
  <c r="E47" i="24"/>
  <c r="D47" i="24"/>
  <c r="C47" i="24"/>
  <c r="L46" i="24"/>
  <c r="K46" i="24"/>
  <c r="J46" i="24"/>
  <c r="I46" i="24"/>
  <c r="H46" i="24"/>
  <c r="G46" i="24"/>
  <c r="F46" i="24"/>
  <c r="E46" i="24"/>
  <c r="D46" i="24"/>
  <c r="C46" i="24"/>
  <c r="L45" i="24"/>
  <c r="K45" i="24"/>
  <c r="J45" i="24"/>
  <c r="I45" i="24"/>
  <c r="H45" i="24"/>
  <c r="G45" i="24"/>
  <c r="F45" i="24"/>
  <c r="E16" i="23" s="1"/>
  <c r="E45" i="24"/>
  <c r="D45" i="24"/>
  <c r="O45" i="24" s="1"/>
  <c r="J16" i="23" s="1"/>
  <c r="C45" i="24"/>
  <c r="L44" i="24"/>
  <c r="K44" i="24"/>
  <c r="J44" i="24"/>
  <c r="I44" i="24"/>
  <c r="H44" i="24"/>
  <c r="G44" i="24"/>
  <c r="F44" i="24"/>
  <c r="E44" i="24"/>
  <c r="D44" i="24"/>
  <c r="C44" i="24"/>
  <c r="L43" i="24"/>
  <c r="O43" i="24" s="1"/>
  <c r="K43" i="24"/>
  <c r="J43" i="24"/>
  <c r="I43" i="24"/>
  <c r="H43" i="24"/>
  <c r="G43" i="24"/>
  <c r="F43" i="24"/>
  <c r="E43" i="24"/>
  <c r="D43" i="24"/>
  <c r="C43" i="24"/>
  <c r="L42" i="24"/>
  <c r="O42" i="24" s="1"/>
  <c r="K42" i="24"/>
  <c r="J42" i="24"/>
  <c r="I42" i="24"/>
  <c r="H42" i="24"/>
  <c r="G42" i="24"/>
  <c r="F42" i="24"/>
  <c r="E42" i="24"/>
  <c r="D42" i="24"/>
  <c r="C42" i="24"/>
  <c r="L41" i="24"/>
  <c r="K41" i="24"/>
  <c r="J41" i="24"/>
  <c r="I41" i="24"/>
  <c r="H41" i="24"/>
  <c r="G41" i="24"/>
  <c r="F41" i="24"/>
  <c r="E41" i="24"/>
  <c r="D41" i="24"/>
  <c r="C41" i="24"/>
  <c r="L40" i="24"/>
  <c r="O40" i="24" s="1"/>
  <c r="K40" i="24"/>
  <c r="J40" i="24"/>
  <c r="I40" i="24"/>
  <c r="H40" i="24"/>
  <c r="G40" i="24"/>
  <c r="F40" i="24"/>
  <c r="E40" i="24"/>
  <c r="D40" i="24"/>
  <c r="C40" i="24"/>
  <c r="L39" i="24"/>
  <c r="O39" i="24" s="1"/>
  <c r="K39" i="24"/>
  <c r="J39" i="24"/>
  <c r="I39" i="24"/>
  <c r="H39" i="24"/>
  <c r="G39" i="24"/>
  <c r="F39" i="24"/>
  <c r="E39" i="24"/>
  <c r="D39" i="24"/>
  <c r="C39" i="24"/>
  <c r="L38" i="24"/>
  <c r="K38" i="24"/>
  <c r="J38" i="24"/>
  <c r="I38" i="24"/>
  <c r="H38" i="24"/>
  <c r="G38" i="24"/>
  <c r="F38" i="24"/>
  <c r="E38" i="24"/>
  <c r="D38" i="24"/>
  <c r="C38" i="24"/>
  <c r="L37" i="24"/>
  <c r="K37" i="24"/>
  <c r="J37" i="24"/>
  <c r="I37" i="24"/>
  <c r="H37" i="24"/>
  <c r="G37" i="24"/>
  <c r="F37" i="24"/>
  <c r="E37" i="24"/>
  <c r="D37" i="24"/>
  <c r="C37" i="24"/>
  <c r="L36" i="24"/>
  <c r="O36" i="24" s="1"/>
  <c r="K36" i="24"/>
  <c r="J36" i="24"/>
  <c r="I36" i="24"/>
  <c r="H36" i="24"/>
  <c r="G36" i="24"/>
  <c r="F36" i="24"/>
  <c r="E36" i="24"/>
  <c r="D36" i="24"/>
  <c r="C36" i="24"/>
  <c r="L35" i="24"/>
  <c r="K35" i="24"/>
  <c r="J35" i="24"/>
  <c r="I35" i="24"/>
  <c r="H35" i="24"/>
  <c r="G35" i="24"/>
  <c r="F35" i="24"/>
  <c r="E35" i="24"/>
  <c r="D35" i="24"/>
  <c r="C35" i="24"/>
  <c r="L34" i="24"/>
  <c r="O34" i="24" s="1"/>
  <c r="K34" i="24"/>
  <c r="J34" i="24"/>
  <c r="I34" i="24"/>
  <c r="H34" i="24"/>
  <c r="G34" i="24"/>
  <c r="F34" i="24"/>
  <c r="E34" i="24"/>
  <c r="D34" i="24"/>
  <c r="C34" i="24"/>
  <c r="L33" i="24"/>
  <c r="K33" i="24"/>
  <c r="J33" i="24"/>
  <c r="I33" i="24"/>
  <c r="H33" i="24"/>
  <c r="G33" i="24"/>
  <c r="F33" i="24"/>
  <c r="E33" i="24"/>
  <c r="D33" i="24"/>
  <c r="C33" i="24"/>
  <c r="H28" i="24"/>
  <c r="G28" i="24"/>
  <c r="F28" i="24"/>
  <c r="E28" i="24"/>
  <c r="D28" i="24"/>
  <c r="C28" i="24"/>
  <c r="H27" i="24"/>
  <c r="G27" i="24"/>
  <c r="F27" i="24"/>
  <c r="O27" i="23" s="1"/>
  <c r="E27" i="24"/>
  <c r="D27" i="24"/>
  <c r="C27" i="24"/>
  <c r="H26" i="24"/>
  <c r="G26" i="24"/>
  <c r="F26" i="24"/>
  <c r="O26" i="23" s="1"/>
  <c r="E26" i="24"/>
  <c r="D26" i="24"/>
  <c r="C26" i="24"/>
  <c r="H25" i="24"/>
  <c r="G25" i="24"/>
  <c r="F25" i="24"/>
  <c r="E25" i="24"/>
  <c r="D25" i="24"/>
  <c r="C25" i="24"/>
  <c r="H24" i="24"/>
  <c r="G24" i="24"/>
  <c r="F24" i="24"/>
  <c r="O24" i="23" s="1"/>
  <c r="E24" i="24"/>
  <c r="D24" i="24"/>
  <c r="C24" i="24"/>
  <c r="S23" i="24"/>
  <c r="R23" i="24"/>
  <c r="Q23" i="24"/>
  <c r="P23" i="24"/>
  <c r="O23" i="24"/>
  <c r="N23" i="24"/>
  <c r="M23" i="24"/>
  <c r="L23" i="24"/>
  <c r="K23" i="24"/>
  <c r="H23" i="24"/>
  <c r="G23" i="24"/>
  <c r="F23" i="24"/>
  <c r="E23" i="24"/>
  <c r="D23" i="24"/>
  <c r="C23" i="24"/>
  <c r="S22" i="24"/>
  <c r="R22" i="24"/>
  <c r="Q22" i="24"/>
  <c r="P22" i="24"/>
  <c r="O22" i="24"/>
  <c r="N22" i="24"/>
  <c r="M22" i="24"/>
  <c r="L22" i="24"/>
  <c r="K22" i="24"/>
  <c r="H22" i="24"/>
  <c r="N22" i="23" s="1"/>
  <c r="G22" i="24"/>
  <c r="F22" i="24"/>
  <c r="O22" i="23" s="1"/>
  <c r="E22" i="24"/>
  <c r="D22" i="24"/>
  <c r="C22" i="24"/>
  <c r="S21" i="24"/>
  <c r="R21" i="24"/>
  <c r="Q21" i="24"/>
  <c r="P21" i="24"/>
  <c r="O21" i="24"/>
  <c r="N21" i="24"/>
  <c r="M21" i="24"/>
  <c r="L21" i="24"/>
  <c r="K21" i="24"/>
  <c r="H21" i="24"/>
  <c r="G21" i="24"/>
  <c r="F21" i="24"/>
  <c r="O21" i="23" s="1"/>
  <c r="E21" i="24"/>
  <c r="D21" i="24"/>
  <c r="C21" i="24"/>
  <c r="H20" i="24"/>
  <c r="N20" i="23" s="1"/>
  <c r="G20" i="24"/>
  <c r="F20" i="24"/>
  <c r="O20" i="23" s="1"/>
  <c r="E20" i="24"/>
  <c r="D20" i="24"/>
  <c r="C20" i="24"/>
  <c r="H19" i="24"/>
  <c r="G19" i="24"/>
  <c r="F19" i="24"/>
  <c r="O19" i="23" s="1"/>
  <c r="E19" i="24"/>
  <c r="D19" i="24"/>
  <c r="C19" i="24"/>
  <c r="H18" i="24"/>
  <c r="G18" i="24"/>
  <c r="F18" i="24"/>
  <c r="E18" i="24"/>
  <c r="D18" i="24"/>
  <c r="C18" i="24"/>
  <c r="P17" i="24"/>
  <c r="O17" i="24"/>
  <c r="N17" i="24"/>
  <c r="M17" i="24"/>
  <c r="L17" i="24"/>
  <c r="K17" i="24"/>
  <c r="H17" i="24"/>
  <c r="G17" i="24"/>
  <c r="F17" i="24"/>
  <c r="E17" i="24"/>
  <c r="D17" i="24"/>
  <c r="C17" i="24"/>
  <c r="P16" i="24"/>
  <c r="O16" i="24"/>
  <c r="N16" i="24"/>
  <c r="M16" i="24"/>
  <c r="L16" i="24"/>
  <c r="K16" i="24"/>
  <c r="H16" i="24"/>
  <c r="G16" i="24"/>
  <c r="F16" i="24"/>
  <c r="O16" i="23" s="1"/>
  <c r="E16" i="24"/>
  <c r="D16" i="24"/>
  <c r="C16" i="24"/>
  <c r="P15" i="24"/>
  <c r="O15" i="24"/>
  <c r="N15" i="24"/>
  <c r="M15" i="24"/>
  <c r="L15" i="24"/>
  <c r="K15" i="24"/>
  <c r="H15" i="24"/>
  <c r="N15" i="23" s="1"/>
  <c r="G15" i="24"/>
  <c r="F15" i="24"/>
  <c r="O15" i="23" s="1"/>
  <c r="E15" i="24"/>
  <c r="D15" i="24"/>
  <c r="C15" i="24"/>
  <c r="H14" i="24"/>
  <c r="N14" i="23" s="1"/>
  <c r="G14" i="24"/>
  <c r="F14" i="24"/>
  <c r="O14" i="23" s="1"/>
  <c r="E14" i="24"/>
  <c r="D14" i="24"/>
  <c r="C14" i="24"/>
  <c r="H13" i="24"/>
  <c r="N13" i="23" s="1"/>
  <c r="G13" i="24"/>
  <c r="F13" i="24"/>
  <c r="O13" i="23" s="1"/>
  <c r="E13" i="24"/>
  <c r="D13" i="24"/>
  <c r="C13" i="24"/>
  <c r="H12" i="24"/>
  <c r="G12" i="24"/>
  <c r="F12" i="24"/>
  <c r="O12" i="23" s="1"/>
  <c r="E12" i="24"/>
  <c r="D12" i="24"/>
  <c r="C12" i="24"/>
  <c r="P11" i="24"/>
  <c r="O11" i="24"/>
  <c r="N11" i="24"/>
  <c r="M11" i="24"/>
  <c r="L11" i="24"/>
  <c r="K11" i="24"/>
  <c r="H11" i="24"/>
  <c r="N11" i="23" s="1"/>
  <c r="G11" i="24"/>
  <c r="F11" i="24"/>
  <c r="O11" i="23" s="1"/>
  <c r="E11" i="24"/>
  <c r="D11" i="24"/>
  <c r="C11" i="24"/>
  <c r="P10" i="24"/>
  <c r="O10" i="24"/>
  <c r="N10" i="24"/>
  <c r="M10" i="24"/>
  <c r="L10" i="24"/>
  <c r="K10" i="24"/>
  <c r="H10" i="24"/>
  <c r="G10" i="24"/>
  <c r="F10" i="24"/>
  <c r="O10" i="23" s="1"/>
  <c r="E10" i="24"/>
  <c r="D10" i="24"/>
  <c r="C10" i="24"/>
  <c r="P9" i="24"/>
  <c r="O9" i="24"/>
  <c r="N9" i="24"/>
  <c r="M9" i="24"/>
  <c r="H9" i="24"/>
  <c r="G9" i="24"/>
  <c r="F9" i="24"/>
  <c r="E9" i="24"/>
  <c r="D9" i="24"/>
  <c r="C9" i="24"/>
  <c r="H8" i="24"/>
  <c r="N8" i="23" s="1"/>
  <c r="G8" i="24"/>
  <c r="F8" i="24"/>
  <c r="O8" i="23" s="1"/>
  <c r="E8" i="24"/>
  <c r="D8" i="24"/>
  <c r="C8" i="24"/>
  <c r="H7" i="24"/>
  <c r="G7" i="24"/>
  <c r="F7" i="24"/>
  <c r="O7" i="23" s="1"/>
  <c r="E7" i="24"/>
  <c r="D7" i="24"/>
  <c r="C7" i="24"/>
  <c r="H6" i="24"/>
  <c r="N6" i="23" s="1"/>
  <c r="G6" i="24"/>
  <c r="F6" i="24"/>
  <c r="O6" i="23" s="1"/>
  <c r="E6" i="24"/>
  <c r="D6" i="24"/>
  <c r="C6" i="24"/>
  <c r="Q5" i="24"/>
  <c r="P5" i="24"/>
  <c r="O5" i="24"/>
  <c r="N5" i="24"/>
  <c r="M5" i="24"/>
  <c r="H5" i="24"/>
  <c r="G5" i="24"/>
  <c r="F5" i="24"/>
  <c r="E5" i="24"/>
  <c r="D5" i="24"/>
  <c r="C5" i="24"/>
  <c r="Q4" i="24"/>
  <c r="P4" i="24"/>
  <c r="O4" i="24"/>
  <c r="N4" i="24"/>
  <c r="M4" i="24"/>
  <c r="H4" i="24"/>
  <c r="G4" i="24"/>
  <c r="F4" i="24"/>
  <c r="E4" i="24"/>
  <c r="D4" i="24"/>
  <c r="C4" i="24"/>
  <c r="Q3" i="24"/>
  <c r="P3" i="24"/>
  <c r="O3" i="24"/>
  <c r="N3" i="24"/>
  <c r="M3" i="24"/>
  <c r="H3" i="24"/>
  <c r="G3" i="24"/>
  <c r="F3" i="24"/>
  <c r="E3" i="24"/>
  <c r="D3" i="24"/>
  <c r="C3" i="24"/>
  <c r="H2" i="24"/>
  <c r="G2" i="24"/>
  <c r="F2" i="24"/>
  <c r="O2" i="23" s="1"/>
  <c r="E2" i="24"/>
  <c r="D2" i="24"/>
  <c r="C2" i="24"/>
  <c r="E27" i="22"/>
  <c r="I27" i="22" s="1"/>
  <c r="E26" i="22"/>
  <c r="E20" i="22" s="1"/>
  <c r="E23" i="22"/>
  <c r="D23" i="22"/>
  <c r="I23" i="22" s="1"/>
  <c r="C23" i="22"/>
  <c r="H23" i="22" s="1"/>
  <c r="B23" i="22"/>
  <c r="G23" i="22" s="1"/>
  <c r="I22" i="22"/>
  <c r="H22" i="22"/>
  <c r="G22" i="22"/>
  <c r="E22" i="22"/>
  <c r="I21" i="22"/>
  <c r="E21" i="22"/>
  <c r="H21" i="22" s="1"/>
  <c r="D20" i="22"/>
  <c r="C20" i="22"/>
  <c r="B20" i="22"/>
  <c r="E10" i="22"/>
  <c r="H10" i="22" s="1"/>
  <c r="E9" i="22"/>
  <c r="D6" i="22"/>
  <c r="C6" i="22"/>
  <c r="B6" i="22"/>
  <c r="H5" i="22"/>
  <c r="E5" i="22"/>
  <c r="I5" i="22" s="1"/>
  <c r="E4" i="22"/>
  <c r="H4" i="22" s="1"/>
  <c r="E3" i="22"/>
  <c r="G3" i="22" s="1"/>
  <c r="D2" i="22"/>
  <c r="C2" i="22"/>
  <c r="B2" i="22"/>
  <c r="C34" i="21"/>
  <c r="B34" i="21"/>
  <c r="C33" i="21"/>
  <c r="B33" i="21"/>
  <c r="C32" i="21"/>
  <c r="B32" i="21"/>
  <c r="C27" i="21"/>
  <c r="B27" i="21"/>
  <c r="C26" i="21"/>
  <c r="J67" i="7" s="1"/>
  <c r="B26" i="21"/>
  <c r="C67" i="7" s="1"/>
  <c r="C25" i="21"/>
  <c r="B25" i="21"/>
  <c r="D20" i="21"/>
  <c r="C20" i="21"/>
  <c r="M66" i="7" s="1"/>
  <c r="K66" i="7" s="1"/>
  <c r="B20" i="21"/>
  <c r="F66" i="7" s="1"/>
  <c r="D66" i="7" s="1"/>
  <c r="D19" i="21"/>
  <c r="C19" i="21"/>
  <c r="B19" i="21"/>
  <c r="D18" i="21"/>
  <c r="C18" i="21"/>
  <c r="B18" i="21"/>
  <c r="E11" i="21"/>
  <c r="P38" i="7" s="1"/>
  <c r="H11" i="23" s="1"/>
  <c r="D11" i="21"/>
  <c r="B39" i="7" s="1"/>
  <c r="C11" i="21"/>
  <c r="E10" i="21"/>
  <c r="D10" i="21"/>
  <c r="C10" i="21"/>
  <c r="E5" i="21"/>
  <c r="D5" i="21"/>
  <c r="C5" i="21"/>
  <c r="E4" i="21"/>
  <c r="D4" i="21"/>
  <c r="C4" i="21"/>
  <c r="E3" i="21"/>
  <c r="D3" i="21"/>
  <c r="C3" i="21"/>
  <c r="F33" i="20"/>
  <c r="E32" i="20"/>
  <c r="D32" i="20"/>
  <c r="H32" i="20" s="1"/>
  <c r="C32" i="20"/>
  <c r="E31" i="20"/>
  <c r="D31" i="20"/>
  <c r="H31" i="20" s="1"/>
  <c r="C31" i="20"/>
  <c r="E30" i="20"/>
  <c r="D30" i="20"/>
  <c r="H30" i="20" s="1"/>
  <c r="C30" i="20"/>
  <c r="E29" i="20"/>
  <c r="D29" i="20"/>
  <c r="H29" i="20" s="1"/>
  <c r="C29" i="20"/>
  <c r="E28" i="20"/>
  <c r="D28" i="20"/>
  <c r="H28" i="20" s="1"/>
  <c r="C28" i="20"/>
  <c r="E27" i="20"/>
  <c r="D27" i="20"/>
  <c r="H27" i="20" s="1"/>
  <c r="C27" i="20"/>
  <c r="E26" i="20"/>
  <c r="D26" i="20"/>
  <c r="H26" i="20" s="1"/>
  <c r="C26" i="20"/>
  <c r="E25" i="20"/>
  <c r="D25" i="20"/>
  <c r="H25" i="20" s="1"/>
  <c r="C25" i="20"/>
  <c r="H24" i="20"/>
  <c r="E24" i="20"/>
  <c r="D24" i="20"/>
  <c r="C24" i="20"/>
  <c r="E23" i="20"/>
  <c r="D23" i="20"/>
  <c r="H23" i="20" s="1"/>
  <c r="C23" i="20"/>
  <c r="E22" i="20"/>
  <c r="D22" i="20"/>
  <c r="H22" i="20" s="1"/>
  <c r="C22" i="20"/>
  <c r="E21" i="20"/>
  <c r="D21" i="20"/>
  <c r="H21" i="20" s="1"/>
  <c r="C21" i="20"/>
  <c r="E20" i="20"/>
  <c r="D20" i="20"/>
  <c r="H20" i="20" s="1"/>
  <c r="C20" i="20"/>
  <c r="E19" i="20"/>
  <c r="D19" i="20"/>
  <c r="H19" i="20" s="1"/>
  <c r="C19" i="20"/>
  <c r="E18" i="20"/>
  <c r="D18" i="20"/>
  <c r="H18" i="20" s="1"/>
  <c r="C18" i="20"/>
  <c r="E17" i="20"/>
  <c r="D17" i="20"/>
  <c r="H17" i="20" s="1"/>
  <c r="C17" i="20"/>
  <c r="E16" i="20"/>
  <c r="D16" i="20"/>
  <c r="H16" i="20" s="1"/>
  <c r="C16" i="20"/>
  <c r="E15" i="20"/>
  <c r="D15" i="20"/>
  <c r="H15" i="20" s="1"/>
  <c r="C15" i="20"/>
  <c r="E14" i="20"/>
  <c r="D14" i="20"/>
  <c r="H14" i="20" s="1"/>
  <c r="C14" i="20"/>
  <c r="E13" i="20"/>
  <c r="D13" i="20"/>
  <c r="H13" i="20" s="1"/>
  <c r="C13" i="20"/>
  <c r="H12" i="20"/>
  <c r="E12" i="20"/>
  <c r="D12" i="20"/>
  <c r="C12" i="20"/>
  <c r="E11" i="20"/>
  <c r="D11" i="20"/>
  <c r="H11" i="20" s="1"/>
  <c r="C11" i="20"/>
  <c r="E10" i="20"/>
  <c r="D10" i="20"/>
  <c r="H10" i="20" s="1"/>
  <c r="C10" i="20"/>
  <c r="E9" i="20"/>
  <c r="D9" i="20"/>
  <c r="H9" i="20" s="1"/>
  <c r="C9" i="20"/>
  <c r="E8" i="20"/>
  <c r="D8" i="20"/>
  <c r="H8" i="20" s="1"/>
  <c r="C8" i="20"/>
  <c r="E7" i="20"/>
  <c r="D7" i="20"/>
  <c r="H7" i="20" s="1"/>
  <c r="C7" i="20"/>
  <c r="E6" i="20"/>
  <c r="D6" i="20"/>
  <c r="H6" i="20" s="1"/>
  <c r="C6" i="20"/>
  <c r="E5" i="20"/>
  <c r="D5" i="20"/>
  <c r="H5" i="20" s="1"/>
  <c r="C5" i="20"/>
  <c r="E4" i="20"/>
  <c r="D4" i="20"/>
  <c r="H4" i="20" s="1"/>
  <c r="C4" i="20"/>
  <c r="E3" i="20"/>
  <c r="D3" i="20"/>
  <c r="H3" i="20" s="1"/>
  <c r="C3" i="20"/>
  <c r="F50" i="18"/>
  <c r="E49" i="18"/>
  <c r="D49" i="18"/>
  <c r="H49" i="18" s="1"/>
  <c r="C49" i="18"/>
  <c r="E48" i="18"/>
  <c r="D48" i="18"/>
  <c r="H48" i="18" s="1"/>
  <c r="C48" i="18"/>
  <c r="E47" i="18"/>
  <c r="D47" i="18"/>
  <c r="H47" i="18" s="1"/>
  <c r="C47" i="18"/>
  <c r="E46" i="18"/>
  <c r="D46" i="18"/>
  <c r="H46" i="18" s="1"/>
  <c r="C46" i="18"/>
  <c r="E45" i="18"/>
  <c r="D45" i="18"/>
  <c r="H45" i="18" s="1"/>
  <c r="C45" i="18"/>
  <c r="E44" i="18"/>
  <c r="D44" i="18"/>
  <c r="H44" i="18" s="1"/>
  <c r="C44" i="18"/>
  <c r="E43" i="18"/>
  <c r="D43" i="18"/>
  <c r="H43" i="18" s="1"/>
  <c r="C43" i="18"/>
  <c r="E42" i="18"/>
  <c r="D42" i="18"/>
  <c r="H42" i="18" s="1"/>
  <c r="C42" i="18"/>
  <c r="E41" i="18"/>
  <c r="D41" i="18"/>
  <c r="H41" i="18" s="1"/>
  <c r="C41" i="18"/>
  <c r="E40" i="18"/>
  <c r="D40" i="18"/>
  <c r="H40" i="18" s="1"/>
  <c r="C40" i="18"/>
  <c r="E39" i="18"/>
  <c r="D39" i="18"/>
  <c r="H39" i="18" s="1"/>
  <c r="C39" i="18"/>
  <c r="E38" i="18"/>
  <c r="D38" i="18"/>
  <c r="H38" i="18" s="1"/>
  <c r="C38" i="18"/>
  <c r="E37" i="18"/>
  <c r="D37" i="18"/>
  <c r="H37" i="18" s="1"/>
  <c r="C37" i="18"/>
  <c r="E36" i="18"/>
  <c r="D36" i="18"/>
  <c r="H36" i="18" s="1"/>
  <c r="C36" i="18"/>
  <c r="E35" i="18"/>
  <c r="D35" i="18"/>
  <c r="H35" i="18" s="1"/>
  <c r="C35" i="18"/>
  <c r="E34" i="18"/>
  <c r="D34" i="18"/>
  <c r="H34" i="18" s="1"/>
  <c r="C34" i="18"/>
  <c r="E33" i="18"/>
  <c r="D33" i="18"/>
  <c r="H33" i="18" s="1"/>
  <c r="C33" i="18"/>
  <c r="E32" i="18"/>
  <c r="D32" i="18"/>
  <c r="H32" i="18" s="1"/>
  <c r="C32" i="18"/>
  <c r="E31" i="18"/>
  <c r="D31" i="18"/>
  <c r="H31" i="18" s="1"/>
  <c r="C31" i="18"/>
  <c r="E30" i="18"/>
  <c r="D30" i="18"/>
  <c r="H30" i="18" s="1"/>
  <c r="C30" i="18"/>
  <c r="E29" i="18"/>
  <c r="D29" i="18"/>
  <c r="H29" i="18" s="1"/>
  <c r="C29" i="18"/>
  <c r="E28" i="18"/>
  <c r="D28" i="18"/>
  <c r="H28" i="18" s="1"/>
  <c r="C28" i="18"/>
  <c r="E27" i="18"/>
  <c r="D27" i="18"/>
  <c r="H27" i="18" s="1"/>
  <c r="C27" i="18"/>
  <c r="E26" i="18"/>
  <c r="D26" i="18"/>
  <c r="H26" i="18" s="1"/>
  <c r="C26" i="18"/>
  <c r="E25" i="18"/>
  <c r="D25" i="18"/>
  <c r="H25" i="18" s="1"/>
  <c r="C25" i="18"/>
  <c r="E24" i="18"/>
  <c r="D24" i="18"/>
  <c r="H24" i="18" s="1"/>
  <c r="C24" i="18"/>
  <c r="E23" i="18"/>
  <c r="D23" i="18"/>
  <c r="H23" i="18" s="1"/>
  <c r="C23" i="18"/>
  <c r="E22" i="18"/>
  <c r="D22" i="18"/>
  <c r="H22" i="18" s="1"/>
  <c r="C22" i="18"/>
  <c r="E21" i="18"/>
  <c r="D21" i="18"/>
  <c r="H21" i="18" s="1"/>
  <c r="C21" i="18"/>
  <c r="E20" i="18"/>
  <c r="D20" i="18"/>
  <c r="H20" i="18" s="1"/>
  <c r="C20" i="18"/>
  <c r="E19" i="18"/>
  <c r="D19" i="18"/>
  <c r="H19" i="18" s="1"/>
  <c r="C19" i="18"/>
  <c r="E18" i="18"/>
  <c r="D18" i="18"/>
  <c r="H18" i="18" s="1"/>
  <c r="C18" i="18"/>
  <c r="E17" i="18"/>
  <c r="D17" i="18"/>
  <c r="H17" i="18" s="1"/>
  <c r="C17" i="18"/>
  <c r="E16" i="18"/>
  <c r="D16" i="18"/>
  <c r="H16" i="18" s="1"/>
  <c r="C16" i="18"/>
  <c r="E15" i="18"/>
  <c r="D15" i="18"/>
  <c r="H15" i="18" s="1"/>
  <c r="C15" i="18"/>
  <c r="E14" i="18"/>
  <c r="D14" i="18"/>
  <c r="H14" i="18" s="1"/>
  <c r="C14" i="18"/>
  <c r="E13" i="18"/>
  <c r="D13" i="18"/>
  <c r="H13" i="18" s="1"/>
  <c r="C13" i="18"/>
  <c r="E12" i="18"/>
  <c r="D12" i="18"/>
  <c r="H12" i="18" s="1"/>
  <c r="C12" i="18"/>
  <c r="E11" i="18"/>
  <c r="D11" i="18"/>
  <c r="H11" i="18" s="1"/>
  <c r="C11" i="18"/>
  <c r="E10" i="18"/>
  <c r="D10" i="18"/>
  <c r="H10" i="18" s="1"/>
  <c r="C10" i="18"/>
  <c r="E9" i="18"/>
  <c r="D9" i="18"/>
  <c r="H9" i="18" s="1"/>
  <c r="C9" i="18"/>
  <c r="E8" i="18"/>
  <c r="D8" i="18"/>
  <c r="H8" i="18" s="1"/>
  <c r="C8" i="18"/>
  <c r="E7" i="18"/>
  <c r="D7" i="18"/>
  <c r="H7" i="18" s="1"/>
  <c r="C7" i="18"/>
  <c r="E6" i="18"/>
  <c r="D6" i="18"/>
  <c r="H6" i="18" s="1"/>
  <c r="C6" i="18"/>
  <c r="E5" i="18"/>
  <c r="D5" i="18"/>
  <c r="H5" i="18" s="1"/>
  <c r="C5" i="18"/>
  <c r="E4" i="18"/>
  <c r="D4" i="18"/>
  <c r="H4" i="18" s="1"/>
  <c r="C4" i="18"/>
  <c r="E3" i="18"/>
  <c r="D3" i="18"/>
  <c r="H3" i="18" s="1"/>
  <c r="C3" i="18"/>
  <c r="E2" i="18"/>
  <c r="D2" i="18"/>
  <c r="H2" i="18" s="1"/>
  <c r="C2" i="18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B15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D14" i="14"/>
  <c r="C14" i="14"/>
  <c r="B14" i="14"/>
  <c r="AG13" i="14"/>
  <c r="AF13" i="14"/>
  <c r="AE13" i="14"/>
  <c r="AD13" i="14"/>
  <c r="AC13" i="14"/>
  <c r="AB13" i="14"/>
  <c r="AA13" i="14"/>
  <c r="Z13" i="14"/>
  <c r="Y13" i="14"/>
  <c r="X13" i="14"/>
  <c r="W13" i="14"/>
  <c r="V13" i="14"/>
  <c r="U13" i="14"/>
  <c r="T13" i="14"/>
  <c r="S13" i="14"/>
  <c r="R13" i="14"/>
  <c r="Q13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D13" i="14"/>
  <c r="C13" i="14"/>
  <c r="B13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B6" i="14"/>
  <c r="R5" i="14"/>
  <c r="Q5" i="14"/>
  <c r="P5" i="14"/>
  <c r="O5" i="14"/>
  <c r="N5" i="14"/>
  <c r="M5" i="14"/>
  <c r="L5" i="14"/>
  <c r="K5" i="14"/>
  <c r="J5" i="14"/>
  <c r="I5" i="14"/>
  <c r="H5" i="14"/>
  <c r="G5" i="14"/>
  <c r="F5" i="14"/>
  <c r="E5" i="14"/>
  <c r="D5" i="14"/>
  <c r="C5" i="14"/>
  <c r="B5" i="14"/>
  <c r="R4" i="14"/>
  <c r="Q4" i="14"/>
  <c r="P4" i="14"/>
  <c r="O4" i="14"/>
  <c r="N4" i="14"/>
  <c r="M4" i="14"/>
  <c r="L4" i="14"/>
  <c r="K4" i="14"/>
  <c r="J4" i="14"/>
  <c r="I4" i="14"/>
  <c r="H4" i="14"/>
  <c r="G4" i="14"/>
  <c r="F4" i="14"/>
  <c r="E4" i="14"/>
  <c r="D4" i="14"/>
  <c r="C4" i="14"/>
  <c r="B4" i="14"/>
  <c r="L118" i="7"/>
  <c r="R118" i="7" s="1"/>
  <c r="D118" i="7"/>
  <c r="Q118" i="7" s="1"/>
  <c r="Q117" i="7"/>
  <c r="L117" i="7"/>
  <c r="R117" i="7" s="1"/>
  <c r="D117" i="7"/>
  <c r="L116" i="7"/>
  <c r="R116" i="7" s="1"/>
  <c r="D116" i="7"/>
  <c r="Q116" i="7" s="1"/>
  <c r="L115" i="7"/>
  <c r="R115" i="7" s="1"/>
  <c r="D115" i="7"/>
  <c r="Q115" i="7" s="1"/>
  <c r="L114" i="7"/>
  <c r="R114" i="7" s="1"/>
  <c r="D114" i="7"/>
  <c r="Q114" i="7" s="1"/>
  <c r="L113" i="7"/>
  <c r="R113" i="7" s="1"/>
  <c r="D113" i="7"/>
  <c r="Q113" i="7" s="1"/>
  <c r="Q112" i="7"/>
  <c r="L112" i="7"/>
  <c r="R112" i="7" s="1"/>
  <c r="D112" i="7"/>
  <c r="L111" i="7"/>
  <c r="R111" i="7" s="1"/>
  <c r="D111" i="7"/>
  <c r="Q111" i="7" s="1"/>
  <c r="R110" i="7"/>
  <c r="Q110" i="7"/>
  <c r="L110" i="7"/>
  <c r="D110" i="7"/>
  <c r="L109" i="7"/>
  <c r="R109" i="7" s="1"/>
  <c r="D109" i="7"/>
  <c r="Q109" i="7" s="1"/>
  <c r="L108" i="7"/>
  <c r="R108" i="7" s="1"/>
  <c r="D108" i="7"/>
  <c r="Q108" i="7" s="1"/>
  <c r="Q107" i="7"/>
  <c r="L107" i="7"/>
  <c r="R107" i="7" s="1"/>
  <c r="D107" i="7"/>
  <c r="L106" i="7"/>
  <c r="R106" i="7" s="1"/>
  <c r="D106" i="7"/>
  <c r="Q106" i="7" s="1"/>
  <c r="L105" i="7"/>
  <c r="R105" i="7" s="1"/>
  <c r="D105" i="7"/>
  <c r="Q105" i="7" s="1"/>
  <c r="L104" i="7"/>
  <c r="R104" i="7" s="1"/>
  <c r="D104" i="7"/>
  <c r="Q104" i="7" s="1"/>
  <c r="L103" i="7"/>
  <c r="R103" i="7" s="1"/>
  <c r="D103" i="7"/>
  <c r="Q103" i="7" s="1"/>
  <c r="Q102" i="7"/>
  <c r="L102" i="7"/>
  <c r="R102" i="7" s="1"/>
  <c r="D102" i="7"/>
  <c r="L101" i="7"/>
  <c r="R101" i="7" s="1"/>
  <c r="D101" i="7"/>
  <c r="Q101" i="7" s="1"/>
  <c r="L100" i="7"/>
  <c r="R100" i="7" s="1"/>
  <c r="D100" i="7"/>
  <c r="Q100" i="7" s="1"/>
  <c r="R99" i="7"/>
  <c r="Q99" i="7"/>
  <c r="L99" i="7"/>
  <c r="D99" i="7"/>
  <c r="L98" i="7"/>
  <c r="R98" i="7" s="1"/>
  <c r="D98" i="7"/>
  <c r="Q98" i="7" s="1"/>
  <c r="Q97" i="7"/>
  <c r="L97" i="7"/>
  <c r="R97" i="7" s="1"/>
  <c r="D97" i="7"/>
  <c r="L96" i="7"/>
  <c r="R96" i="7" s="1"/>
  <c r="D96" i="7"/>
  <c r="Q96" i="7" s="1"/>
  <c r="L95" i="7"/>
  <c r="R95" i="7" s="1"/>
  <c r="D95" i="7"/>
  <c r="Q95" i="7" s="1"/>
  <c r="L94" i="7"/>
  <c r="R94" i="7" s="1"/>
  <c r="D94" i="7"/>
  <c r="Q94" i="7" s="1"/>
  <c r="L93" i="7"/>
  <c r="R93" i="7" s="1"/>
  <c r="D93" i="7"/>
  <c r="Q93" i="7" s="1"/>
  <c r="Q92" i="7"/>
  <c r="L92" i="7"/>
  <c r="R92" i="7" s="1"/>
  <c r="D92" i="7"/>
  <c r="L91" i="7"/>
  <c r="R91" i="7" s="1"/>
  <c r="D91" i="7"/>
  <c r="Q91" i="7" s="1"/>
  <c r="L90" i="7"/>
  <c r="R90" i="7" s="1"/>
  <c r="D90" i="7"/>
  <c r="Q90" i="7" s="1"/>
  <c r="L89" i="7"/>
  <c r="R89" i="7" s="1"/>
  <c r="D89" i="7"/>
  <c r="Q89" i="7" s="1"/>
  <c r="R88" i="7"/>
  <c r="Q88" i="7"/>
  <c r="L88" i="7"/>
  <c r="D88" i="7"/>
  <c r="Q87" i="7"/>
  <c r="L87" i="7"/>
  <c r="R87" i="7" s="1"/>
  <c r="D87" i="7"/>
  <c r="L86" i="7"/>
  <c r="R86" i="7" s="1"/>
  <c r="D86" i="7"/>
  <c r="Q86" i="7" s="1"/>
  <c r="L85" i="7"/>
  <c r="R85" i="7" s="1"/>
  <c r="D85" i="7"/>
  <c r="Q85" i="7" s="1"/>
  <c r="L84" i="7"/>
  <c r="R84" i="7" s="1"/>
  <c r="D84" i="7"/>
  <c r="Q84" i="7" s="1"/>
  <c r="L83" i="7"/>
  <c r="R83" i="7" s="1"/>
  <c r="D83" i="7"/>
  <c r="Q83" i="7" s="1"/>
  <c r="Q82" i="7"/>
  <c r="L82" i="7"/>
  <c r="R82" i="7" s="1"/>
  <c r="D82" i="7"/>
  <c r="L81" i="7"/>
  <c r="R81" i="7" s="1"/>
  <c r="D81" i="7"/>
  <c r="Q81" i="7" s="1"/>
  <c r="R80" i="7"/>
  <c r="Q80" i="7"/>
  <c r="R79" i="7"/>
  <c r="Q79" i="7"/>
  <c r="R78" i="7"/>
  <c r="Q78" i="7"/>
  <c r="R77" i="7"/>
  <c r="Q77" i="7"/>
  <c r="R76" i="7"/>
  <c r="Q76" i="7"/>
  <c r="R75" i="7"/>
  <c r="Q75" i="7"/>
  <c r="R74" i="7"/>
  <c r="Q74" i="7"/>
  <c r="R73" i="7"/>
  <c r="Q73" i="7"/>
  <c r="K67" i="7"/>
  <c r="D67" i="7"/>
  <c r="J63" i="7"/>
  <c r="I63" i="7"/>
  <c r="K62" i="7"/>
  <c r="M58" i="7"/>
  <c r="L58" i="7"/>
  <c r="K58" i="7"/>
  <c r="H58" i="7"/>
  <c r="G58" i="7"/>
  <c r="F58" i="7"/>
  <c r="E58" i="7"/>
  <c r="D58" i="7"/>
  <c r="C58" i="7"/>
  <c r="B58" i="7"/>
  <c r="M57" i="7"/>
  <c r="L57" i="7"/>
  <c r="K57" i="7"/>
  <c r="H57" i="7"/>
  <c r="G57" i="7"/>
  <c r="F57" i="7"/>
  <c r="E57" i="7"/>
  <c r="D57" i="7"/>
  <c r="C57" i="7"/>
  <c r="B57" i="7"/>
  <c r="M56" i="7"/>
  <c r="L56" i="7"/>
  <c r="K56" i="7"/>
  <c r="H56" i="7"/>
  <c r="G56" i="7"/>
  <c r="F56" i="7"/>
  <c r="E56" i="7"/>
  <c r="D56" i="7"/>
  <c r="C56" i="7"/>
  <c r="B56" i="7"/>
  <c r="M55" i="7"/>
  <c r="L55" i="7"/>
  <c r="K55" i="7"/>
  <c r="T51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B47" i="7"/>
  <c r="V46" i="7"/>
  <c r="U46" i="7"/>
  <c r="T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B46" i="7"/>
  <c r="V45" i="7"/>
  <c r="U45" i="7"/>
  <c r="T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B45" i="7"/>
  <c r="V44" i="7"/>
  <c r="U44" i="7"/>
  <c r="T44" i="7"/>
  <c r="C39" i="7"/>
  <c r="I38" i="7"/>
  <c r="I39" i="7" s="1"/>
  <c r="E38" i="7"/>
  <c r="E39" i="7" s="1"/>
  <c r="C38" i="7"/>
  <c r="B38" i="7"/>
  <c r="D38" i="7" s="1"/>
  <c r="D35" i="7"/>
  <c r="B35" i="7"/>
  <c r="B34" i="7"/>
  <c r="J34" i="7" s="1"/>
  <c r="E31" i="7"/>
  <c r="B31" i="7"/>
  <c r="J31" i="7" s="1"/>
  <c r="E30" i="7"/>
  <c r="B30" i="7"/>
  <c r="J30" i="7" s="1"/>
  <c r="B29" i="7"/>
  <c r="J29" i="7" s="1"/>
  <c r="D28" i="7"/>
  <c r="D29" i="7" s="1"/>
  <c r="D30" i="7" s="1"/>
  <c r="D31" i="7" s="1"/>
  <c r="B28" i="7"/>
  <c r="J28" i="7" s="1"/>
  <c r="B25" i="7"/>
  <c r="J25" i="7" s="1"/>
  <c r="E24" i="7"/>
  <c r="B24" i="7"/>
  <c r="J24" i="7" s="1"/>
  <c r="E23" i="7"/>
  <c r="D23" i="7"/>
  <c r="D24" i="7" s="1"/>
  <c r="D25" i="7" s="1"/>
  <c r="B23" i="7"/>
  <c r="J23" i="7" s="1"/>
  <c r="B22" i="7"/>
  <c r="J22" i="7" s="1"/>
  <c r="E19" i="7"/>
  <c r="B19" i="7"/>
  <c r="J19" i="7" s="1"/>
  <c r="B18" i="7"/>
  <c r="J18" i="7" s="1"/>
  <c r="B17" i="7"/>
  <c r="J17" i="7" s="1"/>
  <c r="B16" i="7"/>
  <c r="J16" i="7" s="1"/>
  <c r="H12" i="7"/>
  <c r="G12" i="7"/>
  <c r="F12" i="7"/>
  <c r="E12" i="7"/>
  <c r="D12" i="7"/>
  <c r="C12" i="7"/>
  <c r="B12" i="7"/>
  <c r="H11" i="7"/>
  <c r="G11" i="7"/>
  <c r="F11" i="7"/>
  <c r="E11" i="7"/>
  <c r="E34" i="7" s="1"/>
  <c r="F34" i="7" s="1"/>
  <c r="H34" i="7" s="1"/>
  <c r="I34" i="7" s="1"/>
  <c r="D11" i="7"/>
  <c r="C11" i="7"/>
  <c r="B11" i="7"/>
  <c r="H10" i="7"/>
  <c r="G10" i="7"/>
  <c r="F10" i="7"/>
  <c r="E10" i="7"/>
  <c r="D10" i="7"/>
  <c r="C10" i="7"/>
  <c r="B10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B5" i="7"/>
  <c r="P4" i="7"/>
  <c r="O4" i="7"/>
  <c r="N4" i="7"/>
  <c r="E29" i="7" s="1"/>
  <c r="M4" i="7"/>
  <c r="E28" i="7" s="1"/>
  <c r="L4" i="7"/>
  <c r="K4" i="7"/>
  <c r="E25" i="7" s="1"/>
  <c r="J4" i="7"/>
  <c r="I4" i="7"/>
  <c r="H4" i="7"/>
  <c r="E22" i="7" s="1"/>
  <c r="G4" i="7"/>
  <c r="D22" i="7" s="1"/>
  <c r="F4" i="7"/>
  <c r="E4" i="7"/>
  <c r="E18" i="7" s="1"/>
  <c r="D4" i="7"/>
  <c r="E17" i="7" s="1"/>
  <c r="C4" i="7"/>
  <c r="E16" i="7" s="1"/>
  <c r="B4" i="7"/>
  <c r="D16" i="7" s="1"/>
  <c r="D17" i="7" s="1"/>
  <c r="D18" i="7" s="1"/>
  <c r="D19" i="7" s="1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I34" i="23"/>
  <c r="H34" i="23"/>
  <c r="G34" i="23"/>
  <c r="F34" i="23"/>
  <c r="E34" i="23"/>
  <c r="D34" i="23"/>
  <c r="C34" i="23"/>
  <c r="I33" i="23"/>
  <c r="H33" i="23"/>
  <c r="G33" i="23"/>
  <c r="F33" i="23"/>
  <c r="E33" i="23"/>
  <c r="D33" i="23"/>
  <c r="C33" i="23"/>
  <c r="I32" i="23"/>
  <c r="H32" i="23"/>
  <c r="G32" i="23"/>
  <c r="F32" i="23"/>
  <c r="E32" i="23"/>
  <c r="D32" i="23"/>
  <c r="C32" i="23"/>
  <c r="I31" i="23"/>
  <c r="H31" i="23"/>
  <c r="G31" i="23"/>
  <c r="F31" i="23"/>
  <c r="E31" i="23"/>
  <c r="D31" i="23"/>
  <c r="C31" i="23"/>
  <c r="I30" i="23"/>
  <c r="H30" i="23"/>
  <c r="G30" i="23"/>
  <c r="F30" i="23"/>
  <c r="E30" i="23"/>
  <c r="D30" i="23"/>
  <c r="C30" i="23"/>
  <c r="I29" i="23"/>
  <c r="H29" i="23"/>
  <c r="G29" i="23"/>
  <c r="F29" i="23"/>
  <c r="E29" i="23"/>
  <c r="D29" i="23"/>
  <c r="C29" i="23"/>
  <c r="O28" i="23"/>
  <c r="I28" i="23"/>
  <c r="H28" i="23"/>
  <c r="G28" i="23"/>
  <c r="F28" i="23"/>
  <c r="E28" i="23"/>
  <c r="D28" i="23"/>
  <c r="C28" i="23"/>
  <c r="I27" i="23"/>
  <c r="H27" i="23"/>
  <c r="G27" i="23"/>
  <c r="F27" i="23"/>
  <c r="E27" i="23"/>
  <c r="D27" i="23"/>
  <c r="C27" i="23"/>
  <c r="I26" i="23"/>
  <c r="H26" i="23"/>
  <c r="G26" i="23"/>
  <c r="F26" i="23"/>
  <c r="E26" i="23"/>
  <c r="D26" i="23"/>
  <c r="C26" i="23"/>
  <c r="O25" i="23"/>
  <c r="I25" i="23"/>
  <c r="H25" i="23"/>
  <c r="G25" i="23"/>
  <c r="F25" i="23"/>
  <c r="D25" i="23"/>
  <c r="C25" i="23"/>
  <c r="I24" i="23"/>
  <c r="H24" i="23"/>
  <c r="G24" i="23"/>
  <c r="F24" i="23"/>
  <c r="E24" i="23"/>
  <c r="D24" i="23"/>
  <c r="C24" i="23"/>
  <c r="O23" i="23"/>
  <c r="I23" i="23"/>
  <c r="H23" i="23"/>
  <c r="G23" i="23"/>
  <c r="F23" i="23"/>
  <c r="D23" i="23"/>
  <c r="C23" i="23"/>
  <c r="I22" i="23"/>
  <c r="H22" i="23"/>
  <c r="G22" i="23"/>
  <c r="F22" i="23"/>
  <c r="E22" i="23"/>
  <c r="D22" i="23"/>
  <c r="C22" i="23"/>
  <c r="N21" i="23"/>
  <c r="I21" i="23"/>
  <c r="H21" i="23"/>
  <c r="G21" i="23"/>
  <c r="F21" i="23"/>
  <c r="E21" i="23"/>
  <c r="D21" i="23"/>
  <c r="C21" i="23"/>
  <c r="I20" i="23"/>
  <c r="H20" i="23"/>
  <c r="G20" i="23"/>
  <c r="F20" i="23"/>
  <c r="E20" i="23"/>
  <c r="D20" i="23"/>
  <c r="C20" i="23"/>
  <c r="N19" i="23"/>
  <c r="I19" i="23"/>
  <c r="H19" i="23"/>
  <c r="G19" i="23"/>
  <c r="F19" i="23"/>
  <c r="D19" i="23"/>
  <c r="C19" i="23"/>
  <c r="O18" i="23"/>
  <c r="N18" i="23"/>
  <c r="I18" i="23"/>
  <c r="H18" i="23"/>
  <c r="G18" i="23"/>
  <c r="F18" i="23"/>
  <c r="D18" i="23"/>
  <c r="C18" i="23"/>
  <c r="O17" i="23"/>
  <c r="N17" i="23"/>
  <c r="I17" i="23"/>
  <c r="H17" i="23"/>
  <c r="G17" i="23"/>
  <c r="F17" i="23"/>
  <c r="D17" i="23"/>
  <c r="C17" i="23"/>
  <c r="N16" i="23"/>
  <c r="I16" i="23"/>
  <c r="H16" i="23"/>
  <c r="G16" i="23"/>
  <c r="F16" i="23"/>
  <c r="D16" i="23"/>
  <c r="C16" i="23"/>
  <c r="N12" i="23"/>
  <c r="C12" i="23"/>
  <c r="C11" i="23"/>
  <c r="N10" i="23"/>
  <c r="O9" i="23"/>
  <c r="N9" i="23"/>
  <c r="N7" i="23"/>
  <c r="O5" i="23"/>
  <c r="A5" i="23"/>
  <c r="O4" i="23"/>
  <c r="A4" i="23"/>
  <c r="O3" i="23"/>
  <c r="A3" i="23"/>
  <c r="A2" i="23"/>
  <c r="R7" i="24"/>
  <c r="Q37" i="24" l="1"/>
  <c r="O37" i="24" s="1"/>
  <c r="Q35" i="24"/>
  <c r="O35" i="24" s="1"/>
  <c r="Q41" i="24"/>
  <c r="H2" i="25"/>
  <c r="M2" i="25" s="1"/>
  <c r="H3" i="25"/>
  <c r="F18" i="7"/>
  <c r="H18" i="7" s="1"/>
  <c r="I18" i="7" s="1"/>
  <c r="F19" i="7"/>
  <c r="H19" i="7" s="1"/>
  <c r="I19" i="7" s="1"/>
  <c r="F25" i="7"/>
  <c r="H25" i="7" s="1"/>
  <c r="I25" i="7" s="1"/>
  <c r="O56" i="24"/>
  <c r="J22" i="23" s="1"/>
  <c r="O41" i="24"/>
  <c r="O54" i="24"/>
  <c r="J20" i="23" s="1"/>
  <c r="O58" i="24"/>
  <c r="J24" i="23" s="1"/>
  <c r="F23" i="7"/>
  <c r="H23" i="7" s="1"/>
  <c r="I23" i="7" s="1"/>
  <c r="F22" i="7"/>
  <c r="H22" i="7" s="1"/>
  <c r="I22" i="7" s="1"/>
  <c r="H5" i="25"/>
  <c r="K22" i="7"/>
  <c r="B2" i="23" s="1"/>
  <c r="K25" i="7"/>
  <c r="B5" i="23" s="1"/>
  <c r="F30" i="7"/>
  <c r="H30" i="7" s="1"/>
  <c r="I30" i="7" s="1"/>
  <c r="K18" i="7"/>
  <c r="F31" i="7"/>
  <c r="H31" i="7" s="1"/>
  <c r="I31" i="7" s="1"/>
  <c r="I29" i="20"/>
  <c r="I19" i="18"/>
  <c r="J19" i="18" s="1"/>
  <c r="M23" i="7"/>
  <c r="D3" i="23" s="1"/>
  <c r="K19" i="7"/>
  <c r="H50" i="18"/>
  <c r="I3" i="18" s="1"/>
  <c r="J3" i="18" s="1"/>
  <c r="H33" i="20"/>
  <c r="I31" i="20" s="1"/>
  <c r="L25" i="7"/>
  <c r="C5" i="23" s="1"/>
  <c r="F28" i="7"/>
  <c r="H28" i="7" s="1"/>
  <c r="I28" i="7" s="1"/>
  <c r="K28" i="7" s="1"/>
  <c r="F2" i="23" s="1"/>
  <c r="I44" i="18"/>
  <c r="L48" i="7" s="1"/>
  <c r="L49" i="7" s="1"/>
  <c r="F16" i="7"/>
  <c r="H16" i="7" s="1"/>
  <c r="I16" i="7" s="1"/>
  <c r="L19" i="7" s="1"/>
  <c r="E2" i="22"/>
  <c r="I9" i="22"/>
  <c r="I22" i="20"/>
  <c r="J22" i="20" s="1"/>
  <c r="I17" i="20"/>
  <c r="J17" i="20" s="1"/>
  <c r="N38" i="7"/>
  <c r="F11" i="23" s="1"/>
  <c r="O38" i="7"/>
  <c r="G11" i="23" s="1"/>
  <c r="H9" i="22"/>
  <c r="D39" i="7"/>
  <c r="B12" i="23"/>
  <c r="O47" i="24"/>
  <c r="O49" i="24"/>
  <c r="J17" i="23" s="1"/>
  <c r="I15" i="20"/>
  <c r="J15" i="20" s="1"/>
  <c r="F29" i="7"/>
  <c r="I11" i="20"/>
  <c r="J11" i="20" s="1"/>
  <c r="I6" i="20"/>
  <c r="J6" i="20" s="1"/>
  <c r="F17" i="7"/>
  <c r="H17" i="7" s="1"/>
  <c r="I17" i="7" s="1"/>
  <c r="G9" i="22"/>
  <c r="K34" i="7"/>
  <c r="B11" i="23"/>
  <c r="I10" i="20"/>
  <c r="J10" i="20" s="1"/>
  <c r="H3" i="22"/>
  <c r="I10" i="22"/>
  <c r="G4" i="22"/>
  <c r="I4" i="22"/>
  <c r="O59" i="24"/>
  <c r="J25" i="23" s="1"/>
  <c r="G10" i="22"/>
  <c r="F24" i="7"/>
  <c r="H24" i="7" s="1"/>
  <c r="I24" i="7" s="1"/>
  <c r="I3" i="22"/>
  <c r="G20" i="22"/>
  <c r="I27" i="20"/>
  <c r="H26" i="22"/>
  <c r="I26" i="22"/>
  <c r="G26" i="22"/>
  <c r="G5" i="22"/>
  <c r="H20" i="22"/>
  <c r="O55" i="24"/>
  <c r="J21" i="23" s="1"/>
  <c r="I20" i="22"/>
  <c r="O57" i="24"/>
  <c r="J23" i="23" s="1"/>
  <c r="G27" i="22"/>
  <c r="G21" i="22"/>
  <c r="H27" i="22"/>
  <c r="M5" i="25" l="1"/>
  <c r="M3" i="25"/>
  <c r="I28" i="20"/>
  <c r="I5" i="20"/>
  <c r="J5" i="20" s="1"/>
  <c r="I18" i="20"/>
  <c r="J18" i="20" s="1"/>
  <c r="I32" i="20"/>
  <c r="I13" i="20"/>
  <c r="J13" i="20" s="1"/>
  <c r="I21" i="20"/>
  <c r="J21" i="20" s="1"/>
  <c r="I8" i="20"/>
  <c r="J8" i="20" s="1"/>
  <c r="I4" i="20"/>
  <c r="J4" i="20" s="1"/>
  <c r="I23" i="20"/>
  <c r="J23" i="20" s="1"/>
  <c r="I26" i="20"/>
  <c r="I20" i="20"/>
  <c r="J20" i="20" s="1"/>
  <c r="I30" i="20"/>
  <c r="J30" i="20" s="1"/>
  <c r="J31" i="20"/>
  <c r="G59" i="7"/>
  <c r="G60" i="7" s="1"/>
  <c r="I6" i="18"/>
  <c r="I49" i="18"/>
  <c r="I37" i="18"/>
  <c r="I18" i="18"/>
  <c r="J18" i="18" s="1"/>
  <c r="I5" i="18"/>
  <c r="J5" i="18" s="1"/>
  <c r="I14" i="18"/>
  <c r="J14" i="18" s="1"/>
  <c r="I42" i="18"/>
  <c r="I38" i="18"/>
  <c r="I12" i="18"/>
  <c r="J12" i="18" s="1"/>
  <c r="I16" i="18"/>
  <c r="J16" i="18" s="1"/>
  <c r="I40" i="18"/>
  <c r="E59" i="7"/>
  <c r="E60" i="7" s="1"/>
  <c r="J29" i="20"/>
  <c r="C59" i="7"/>
  <c r="C60" i="7" s="1"/>
  <c r="J27" i="20"/>
  <c r="H59" i="7"/>
  <c r="H60" i="7" s="1"/>
  <c r="J32" i="20"/>
  <c r="L31" i="7"/>
  <c r="G5" i="23" s="1"/>
  <c r="K31" i="7"/>
  <c r="F5" i="23" s="1"/>
  <c r="I46" i="18"/>
  <c r="I24" i="18"/>
  <c r="J24" i="18" s="1"/>
  <c r="I15" i="18"/>
  <c r="J15" i="18" s="1"/>
  <c r="I29" i="18"/>
  <c r="J29" i="18" s="1"/>
  <c r="I9" i="18"/>
  <c r="J9" i="18" s="1"/>
  <c r="I35" i="18"/>
  <c r="I3" i="20"/>
  <c r="I14" i="20"/>
  <c r="J14" i="20" s="1"/>
  <c r="I13" i="18"/>
  <c r="J13" i="18" s="1"/>
  <c r="L23" i="7"/>
  <c r="C3" i="23" s="1"/>
  <c r="K23" i="7"/>
  <c r="B3" i="23" s="1"/>
  <c r="K24" i="7"/>
  <c r="B4" i="23" s="1"/>
  <c r="L24" i="7"/>
  <c r="C4" i="23" s="1"/>
  <c r="I48" i="18"/>
  <c r="I7" i="18"/>
  <c r="J7" i="18" s="1"/>
  <c r="I41" i="18"/>
  <c r="F59" i="7"/>
  <c r="F60" i="7" s="1"/>
  <c r="I22" i="18"/>
  <c r="J22" i="18" s="1"/>
  <c r="I25" i="18"/>
  <c r="J25" i="18" s="1"/>
  <c r="I8" i="18"/>
  <c r="J8" i="18" s="1"/>
  <c r="I27" i="18"/>
  <c r="J27" i="18" s="1"/>
  <c r="I10" i="18"/>
  <c r="J10" i="18" s="1"/>
  <c r="H34" i="20"/>
  <c r="I59" i="7" s="1"/>
  <c r="J26" i="20"/>
  <c r="J34" i="20" s="1"/>
  <c r="I60" i="7" s="1"/>
  <c r="B59" i="7"/>
  <c r="B60" i="7" s="1"/>
  <c r="E6" i="22"/>
  <c r="I2" i="22"/>
  <c r="H2" i="22"/>
  <c r="G2" i="22"/>
  <c r="I24" i="20"/>
  <c r="J24" i="20" s="1"/>
  <c r="I33" i="20"/>
  <c r="I12" i="20"/>
  <c r="J12" i="20" s="1"/>
  <c r="I25" i="20"/>
  <c r="J25" i="20" s="1"/>
  <c r="I21" i="18"/>
  <c r="J21" i="18" s="1"/>
  <c r="I39" i="18"/>
  <c r="I16" i="20"/>
  <c r="J16" i="20" s="1"/>
  <c r="I33" i="18"/>
  <c r="J33" i="18" s="1"/>
  <c r="I23" i="18"/>
  <c r="J23" i="18" s="1"/>
  <c r="L34" i="7"/>
  <c r="M34" i="7" s="1"/>
  <c r="K16" i="7"/>
  <c r="I34" i="18"/>
  <c r="I9" i="20"/>
  <c r="J9" i="20" s="1"/>
  <c r="I31" i="18"/>
  <c r="J31" i="18" s="1"/>
  <c r="D59" i="7"/>
  <c r="D60" i="7" s="1"/>
  <c r="J28" i="20"/>
  <c r="L17" i="7"/>
  <c r="K17" i="7"/>
  <c r="I20" i="18"/>
  <c r="J20" i="18" s="1"/>
  <c r="I26" i="18"/>
  <c r="J26" i="18" s="1"/>
  <c r="I45" i="18"/>
  <c r="I43" i="18"/>
  <c r="I28" i="18"/>
  <c r="J28" i="18" s="1"/>
  <c r="J44" i="18"/>
  <c r="I17" i="18"/>
  <c r="J17" i="18" s="1"/>
  <c r="M29" i="7"/>
  <c r="H3" i="23" s="1"/>
  <c r="H29" i="7"/>
  <c r="I29" i="7" s="1"/>
  <c r="I4" i="18"/>
  <c r="I30" i="18"/>
  <c r="J30" i="18" s="1"/>
  <c r="I32" i="18"/>
  <c r="J32" i="18" s="1"/>
  <c r="L18" i="7"/>
  <c r="I7" i="20"/>
  <c r="L30" i="7"/>
  <c r="G4" i="23" s="1"/>
  <c r="K30" i="7"/>
  <c r="F4" i="23" s="1"/>
  <c r="I2" i="18"/>
  <c r="I19" i="20"/>
  <c r="J19" i="20" s="1"/>
  <c r="I36" i="18"/>
  <c r="I47" i="18"/>
  <c r="I11" i="18"/>
  <c r="J11" i="18" s="1"/>
  <c r="L59" i="7" l="1"/>
  <c r="L60" i="7" s="1"/>
  <c r="P48" i="7"/>
  <c r="P49" i="7" s="1"/>
  <c r="J48" i="18"/>
  <c r="O48" i="7"/>
  <c r="O49" i="7" s="1"/>
  <c r="J47" i="18"/>
  <c r="T48" i="7"/>
  <c r="H52" i="18"/>
  <c r="I50" i="18"/>
  <c r="J2" i="18"/>
  <c r="H35" i="20"/>
  <c r="J3" i="20"/>
  <c r="K59" i="7"/>
  <c r="F39" i="7"/>
  <c r="H39" i="7" s="1"/>
  <c r="B48" i="7"/>
  <c r="H51" i="18"/>
  <c r="J34" i="18"/>
  <c r="J51" i="18" s="1"/>
  <c r="V48" i="7"/>
  <c r="V49" i="7" s="1"/>
  <c r="J6" i="18"/>
  <c r="H48" i="7"/>
  <c r="H49" i="7" s="1"/>
  <c r="J40" i="18"/>
  <c r="D48" i="7"/>
  <c r="D49" i="7" s="1"/>
  <c r="J36" i="18"/>
  <c r="F48" i="7"/>
  <c r="F49" i="7" s="1"/>
  <c r="J38" i="18"/>
  <c r="G39" i="7"/>
  <c r="K63" i="7"/>
  <c r="E48" i="7"/>
  <c r="E49" i="7" s="1"/>
  <c r="J37" i="18"/>
  <c r="Q48" i="7"/>
  <c r="Q49" i="7" s="1"/>
  <c r="J49" i="18"/>
  <c r="U48" i="7"/>
  <c r="U49" i="7" s="1"/>
  <c r="J4" i="18"/>
  <c r="N48" i="7"/>
  <c r="N49" i="7" s="1"/>
  <c r="J46" i="18"/>
  <c r="J39" i="18"/>
  <c r="G48" i="7"/>
  <c r="G49" i="7" s="1"/>
  <c r="I48" i="7"/>
  <c r="I49" i="7" s="1"/>
  <c r="J41" i="18"/>
  <c r="K48" i="7"/>
  <c r="K49" i="7" s="1"/>
  <c r="J43" i="18"/>
  <c r="M48" i="7"/>
  <c r="M49" i="7" s="1"/>
  <c r="J45" i="18"/>
  <c r="J48" i="7"/>
  <c r="J49" i="7" s="1"/>
  <c r="J42" i="18"/>
  <c r="H6" i="22"/>
  <c r="I6" i="22"/>
  <c r="G6" i="22"/>
  <c r="C48" i="7"/>
  <c r="C49" i="7" s="1"/>
  <c r="J35" i="18"/>
  <c r="M59" i="7"/>
  <c r="M60" i="7" s="1"/>
  <c r="J7" i="20"/>
  <c r="L29" i="7"/>
  <c r="G3" i="23" s="1"/>
  <c r="K29" i="7"/>
  <c r="F3" i="23" s="1"/>
  <c r="N59" i="7" l="1"/>
  <c r="K39" i="7" s="1"/>
  <c r="K60" i="7"/>
  <c r="N60" i="7" s="1"/>
  <c r="D12" i="23"/>
  <c r="L39" i="7"/>
  <c r="R48" i="7"/>
  <c r="B49" i="7"/>
  <c r="R49" i="7" s="1"/>
  <c r="J35" i="20"/>
  <c r="J33" i="20"/>
  <c r="J36" i="20" s="1"/>
  <c r="J52" i="18"/>
  <c r="J50" i="18"/>
  <c r="J53" i="18" s="1"/>
  <c r="W48" i="7"/>
  <c r="K38" i="7" s="1"/>
  <c r="T49" i="7"/>
  <c r="W49" i="7" s="1"/>
  <c r="J38" i="7" s="1"/>
  <c r="J39" i="7" l="1"/>
  <c r="M39" i="7" s="1"/>
  <c r="E12" i="23" s="1"/>
  <c r="G38" i="7"/>
  <c r="L38" i="7" s="1"/>
  <c r="T52" i="7"/>
  <c r="T53" i="7"/>
  <c r="F38" i="7" l="1"/>
  <c r="H38" i="7" s="1"/>
  <c r="M38" i="7" l="1"/>
  <c r="E11" i="23" s="1"/>
  <c r="H40" i="7"/>
  <c r="D13" i="23" s="1"/>
  <c r="D11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<sst xmlns="http://schemas.openxmlformats.org/spreadsheetml/2006/main" count="1038" uniqueCount="473">
  <si>
    <t>合约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</si>
  <si>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F</t>
    </r>
    <r>
      <rPr>
        <sz val="11"/>
        <color theme="1"/>
        <rFont val="宋体"/>
        <family val="3"/>
        <charset val="134"/>
        <scheme val="minor"/>
      </rPr>
      <t>年贴水率</t>
    </r>
  </si>
  <si>
    <t>与当月差值</t>
  </si>
  <si>
    <t>当月-下月价差</t>
  </si>
  <si>
    <r>
      <rPr>
        <sz val="11"/>
        <color theme="1"/>
        <rFont val="宋体"/>
        <family val="3"/>
        <charset val="134"/>
        <scheme val="minor"/>
      </rPr>
      <t>IC</t>
    </r>
    <r>
      <rPr>
        <sz val="11"/>
        <color theme="1"/>
        <rFont val="宋体"/>
        <family val="3"/>
        <charset val="134"/>
        <scheme val="minor"/>
      </rPr>
      <t>年贴水率</t>
    </r>
  </si>
  <si>
    <t>代码</t>
  </si>
  <si>
    <t>简称</t>
  </si>
  <si>
    <t>真实折溢价率%</t>
  </si>
  <si>
    <t>成交额（万）</t>
  </si>
  <si>
    <t>159941.SZ</t>
  </si>
  <si>
    <t>纳指ETF</t>
  </si>
  <si>
    <t>513500.SH</t>
  </si>
  <si>
    <t>标普500ETF</t>
  </si>
  <si>
    <t>513100.SH</t>
  </si>
  <si>
    <t>159803.SZ</t>
  </si>
  <si>
    <t>浙江ETF</t>
  </si>
  <si>
    <t>159920.SZ</t>
  </si>
  <si>
    <t>恒生ETF</t>
  </si>
  <si>
    <t>513600.SH</t>
  </si>
  <si>
    <t>恒生指数ETF</t>
  </si>
  <si>
    <t>513660.SH</t>
  </si>
  <si>
    <t>159954.SZ</t>
  </si>
  <si>
    <t>H股ETF</t>
  </si>
  <si>
    <t>价格</t>
  </si>
  <si>
    <t>T-1日净值</t>
  </si>
  <si>
    <t>T日溢价估算</t>
  </si>
  <si>
    <t>加ADR后溢价</t>
  </si>
  <si>
    <t>164906-腾讯涨跌幅%</t>
  </si>
  <si>
    <t>513050-腾讯涨跌幅%</t>
  </si>
  <si>
    <t>164906-513050涨跌幅%</t>
  </si>
  <si>
    <t>159960.SZ</t>
  </si>
  <si>
    <t>恒生国企</t>
  </si>
  <si>
    <t>159963.SZ</t>
  </si>
  <si>
    <t>恒生中国</t>
  </si>
  <si>
    <t>510900.SH</t>
  </si>
  <si>
    <t>基金溢价差</t>
  </si>
  <si>
    <t>513680.SH</t>
  </si>
  <si>
    <t>恒生国企ETF</t>
  </si>
  <si>
    <t>513900.SH</t>
  </si>
  <si>
    <t>港股100ETF</t>
  </si>
  <si>
    <t>更新时间</t>
  </si>
  <si>
    <t>最新价</t>
  </si>
  <si>
    <t>成交额</t>
  </si>
  <si>
    <t>买一价</t>
  </si>
  <si>
    <t>买一量</t>
  </si>
  <si>
    <t>卖一价</t>
  </si>
  <si>
    <t>卖一量</t>
  </si>
  <si>
    <t>513990.SH</t>
  </si>
  <si>
    <t>上证港股通ETF</t>
  </si>
  <si>
    <t>501050.SH</t>
  </si>
  <si>
    <t>50AHLOF</t>
  </si>
  <si>
    <t>513090.SH</t>
  </si>
  <si>
    <t>香港证券ETF</t>
  </si>
  <si>
    <t>161124.SZ</t>
  </si>
  <si>
    <t>香港小盘</t>
  </si>
  <si>
    <t>159809.SZ</t>
  </si>
  <si>
    <t>恒生湾区</t>
  </si>
  <si>
    <t>160922.SZ</t>
  </si>
  <si>
    <t>恒生中小</t>
  </si>
  <si>
    <t>159976.SZ</t>
  </si>
  <si>
    <t>湾创ETF</t>
  </si>
  <si>
    <t>501023.SH</t>
  </si>
  <si>
    <t>港中小企LOF</t>
  </si>
  <si>
    <t>159978.SZ</t>
  </si>
  <si>
    <t>湾区ETF</t>
  </si>
  <si>
    <t>160125.SZ</t>
  </si>
  <si>
    <t>南方香港</t>
  </si>
  <si>
    <t>159979.SZ</t>
  </si>
  <si>
    <t>湾创100</t>
  </si>
  <si>
    <t>160924.SZ</t>
  </si>
  <si>
    <t>恒指LOF</t>
  </si>
  <si>
    <t>159983.SZ</t>
  </si>
  <si>
    <t>大湾区</t>
  </si>
  <si>
    <t>160717.SZ</t>
  </si>
  <si>
    <t>恒生H股</t>
  </si>
  <si>
    <t>159984.SZ</t>
  </si>
  <si>
    <t>湾区基金</t>
  </si>
  <si>
    <t>161831.SZ</t>
  </si>
  <si>
    <t>恒生中企</t>
  </si>
  <si>
    <t>513030.SH</t>
  </si>
  <si>
    <t>德国30ETF</t>
  </si>
  <si>
    <t>164705.SZ</t>
  </si>
  <si>
    <t>添富恒生</t>
  </si>
  <si>
    <t>513080.SH</t>
  </si>
  <si>
    <t>法国CAC40ETF</t>
  </si>
  <si>
    <t>501021.SH</t>
  </si>
  <si>
    <t>香港中小LOF</t>
  </si>
  <si>
    <t>513000.SH</t>
  </si>
  <si>
    <t>日经225ETF易方达</t>
  </si>
  <si>
    <t>161130.SZ</t>
  </si>
  <si>
    <t>纳指LOF</t>
  </si>
  <si>
    <t>513520.SH</t>
  </si>
  <si>
    <t>日经225ETF基金</t>
  </si>
  <si>
    <t>161128.SZ</t>
  </si>
  <si>
    <t>标普科技</t>
  </si>
  <si>
    <t>513880.SH</t>
  </si>
  <si>
    <t>日经225ETF</t>
  </si>
  <si>
    <t>161125.SZ</t>
  </si>
  <si>
    <t>标普500</t>
  </si>
  <si>
    <t>513800.SH</t>
  </si>
  <si>
    <t>东京证券指数ETF</t>
  </si>
  <si>
    <t>161127.SZ</t>
  </si>
  <si>
    <t>标普生物</t>
  </si>
  <si>
    <t>162415.SZ</t>
  </si>
  <si>
    <t>美国消费</t>
  </si>
  <si>
    <t>161126.SZ</t>
  </si>
  <si>
    <t>标普医药</t>
  </si>
  <si>
    <t>164824.SZ</t>
  </si>
  <si>
    <t>印度基金</t>
  </si>
  <si>
    <t>162411.SZ</t>
  </si>
  <si>
    <t>华宝油气</t>
  </si>
  <si>
    <t>161815.SZ</t>
  </si>
  <si>
    <t>银华通胀</t>
  </si>
  <si>
    <t>000016.SH</t>
  </si>
  <si>
    <t>IH00C1.CFE</t>
  </si>
  <si>
    <t>IH00C2.CFE</t>
  </si>
  <si>
    <t>IH00C3.CFE</t>
  </si>
  <si>
    <t>IH00C4.CFE</t>
  </si>
  <si>
    <t>000300.SH</t>
  </si>
  <si>
    <t>IF00C1.CFE</t>
  </si>
  <si>
    <t>IF00C2.CFE</t>
  </si>
  <si>
    <t>IF00C3.CFE</t>
  </si>
  <si>
    <t>IF00C4.CFE</t>
  </si>
  <si>
    <t>000905.SH</t>
  </si>
  <si>
    <t>IC00C1.CFE</t>
  </si>
  <si>
    <t>IC00C2.CFE</t>
  </si>
  <si>
    <t>IC00C3.CFE</t>
  </si>
  <si>
    <t>IC00C4.CFE</t>
  </si>
  <si>
    <t>上证50</t>
  </si>
  <si>
    <t>IH当月连续</t>
  </si>
  <si>
    <t>IH下月连续</t>
  </si>
  <si>
    <t>IH下季连续</t>
  </si>
  <si>
    <t>IH隔季连续</t>
  </si>
  <si>
    <t>沪深300</t>
  </si>
  <si>
    <t>IF当月连续</t>
  </si>
  <si>
    <t>IF下月连续</t>
  </si>
  <si>
    <t>IF下季连续</t>
  </si>
  <si>
    <t>IF隔季连续</t>
  </si>
  <si>
    <t>中证500</t>
  </si>
  <si>
    <t>IC当月连续</t>
  </si>
  <si>
    <t>IC下月连续</t>
  </si>
  <si>
    <t>IC下季连续</t>
  </si>
  <si>
    <t>IC隔季连续</t>
  </si>
  <si>
    <t>涨跌幅%</t>
  </si>
  <si>
    <t>CN00Y.SG</t>
  </si>
  <si>
    <t>CN20N.SG</t>
  </si>
  <si>
    <t>CN20Q.SG</t>
  </si>
  <si>
    <t>CN20U.SG</t>
  </si>
  <si>
    <t>CN20Z.SG</t>
  </si>
  <si>
    <t>CN21H.SG</t>
  </si>
  <si>
    <t>CN21M.SG</t>
  </si>
  <si>
    <t>富时中国A50指数期货当月连续</t>
  </si>
  <si>
    <t>富时中国A50指数期货2007</t>
  </si>
  <si>
    <t>富时中国A50指数期货2008</t>
  </si>
  <si>
    <t>富时中国A50指数期货2009</t>
  </si>
  <si>
    <t>富时中国A50指数期货2012</t>
  </si>
  <si>
    <t>富时中国A50指数期货2103</t>
  </si>
  <si>
    <t>富时中国A50指数期货2106</t>
  </si>
  <si>
    <t>到期日</t>
  </si>
  <si>
    <t>今天</t>
  </si>
  <si>
    <t>指数</t>
  </si>
  <si>
    <t>000016</t>
  </si>
  <si>
    <t>点差</t>
  </si>
  <si>
    <t>分红点数</t>
  </si>
  <si>
    <t>含分红价差</t>
  </si>
  <si>
    <t>升贴水率</t>
  </si>
  <si>
    <t>剩余天数</t>
  </si>
  <si>
    <t>年贴水率</t>
  </si>
  <si>
    <t>000300</t>
  </si>
  <si>
    <t>000905</t>
  </si>
  <si>
    <t>FTXIN9</t>
  </si>
  <si>
    <t>上证50升贴水率</t>
  </si>
  <si>
    <t>贴水率差值</t>
  </si>
  <si>
    <t>相对T-1日溢价</t>
  </si>
  <si>
    <t>汇率涨跌-港币中间价</t>
  </si>
  <si>
    <t>港股贡献</t>
  </si>
  <si>
    <t>港股仓位%</t>
  </si>
  <si>
    <t>汇率涨跌-美元中间价</t>
  </si>
  <si>
    <t>T日ADR贡献参考</t>
  </si>
  <si>
    <t>ADR仓位</t>
  </si>
  <si>
    <t>总仓位</t>
  </si>
  <si>
    <t>09988.HK</t>
  </si>
  <si>
    <t>09618.HK</t>
  </si>
  <si>
    <t>09999.HK</t>
  </si>
  <si>
    <t>00700.HK</t>
  </si>
  <si>
    <t>03690.HK</t>
  </si>
  <si>
    <t>00241.HK</t>
  </si>
  <si>
    <t>01833.HK</t>
  </si>
  <si>
    <t>03888.HK</t>
  </si>
  <si>
    <t>00772.HK</t>
  </si>
  <si>
    <t>02013.HK</t>
  </si>
  <si>
    <t>00780.HK</t>
  </si>
  <si>
    <t>06060.HK</t>
  </si>
  <si>
    <t>01060.HK</t>
  </si>
  <si>
    <t>01797.HK</t>
  </si>
  <si>
    <t>01896.HK</t>
  </si>
  <si>
    <t>00777.HK</t>
  </si>
  <si>
    <t>02400.HK</t>
  </si>
  <si>
    <t>01357.HK</t>
  </si>
  <si>
    <t>06100.HK</t>
  </si>
  <si>
    <t>阿里巴巴-SW</t>
  </si>
  <si>
    <t>京东集团-SW</t>
  </si>
  <si>
    <t>网易-S</t>
  </si>
  <si>
    <t>腾讯控股</t>
  </si>
  <si>
    <t>美团点评-W</t>
  </si>
  <si>
    <t>阿里健康</t>
  </si>
  <si>
    <t>平安好医生</t>
  </si>
  <si>
    <t>金山软件</t>
  </si>
  <si>
    <t>阅文集团</t>
  </si>
  <si>
    <t>微盟集团</t>
  </si>
  <si>
    <t>同程艺龙</t>
  </si>
  <si>
    <t>众安在线</t>
  </si>
  <si>
    <t>阿里影业</t>
  </si>
  <si>
    <t>新东方在线</t>
  </si>
  <si>
    <t>猫眼娱乐</t>
  </si>
  <si>
    <t>网龙</t>
  </si>
  <si>
    <t>心动公司</t>
  </si>
  <si>
    <t>美图公司</t>
  </si>
  <si>
    <t>有才天下猎聘</t>
  </si>
  <si>
    <t>港股合计</t>
  </si>
  <si>
    <t>ADR前日溢价</t>
  </si>
  <si>
    <t>合计</t>
  </si>
  <si>
    <r>
      <rPr>
        <sz val="9"/>
        <color theme="1"/>
        <rFont val="宋体"/>
        <family val="3"/>
        <charset val="134"/>
      </rPr>
      <t>权重</t>
    </r>
    <r>
      <rPr>
        <sz val="9"/>
        <color theme="1"/>
        <rFont val="Arial"/>
        <family val="2"/>
      </rPr>
      <t>%</t>
    </r>
  </si>
  <si>
    <r>
      <rPr>
        <sz val="9"/>
        <color theme="1"/>
        <rFont val="宋体"/>
        <family val="3"/>
        <charset val="134"/>
      </rPr>
      <t>贡献值</t>
    </r>
    <r>
      <rPr>
        <sz val="9"/>
        <color theme="1"/>
        <rFont val="Arial"/>
        <family val="2"/>
      </rPr>
      <t>%</t>
    </r>
  </si>
  <si>
    <t>港股</t>
  </si>
  <si>
    <t>美股</t>
  </si>
  <si>
    <t>T-1日</t>
  </si>
  <si>
    <t>兑美元</t>
  </si>
  <si>
    <t>T-1汇率</t>
  </si>
  <si>
    <t>兑人民币</t>
  </si>
  <si>
    <t>s</t>
  </si>
  <si>
    <t>仓位</t>
  </si>
  <si>
    <t>164906净值</t>
  </si>
  <si>
    <t>估算净值</t>
  </si>
  <si>
    <t>估算涨跌%</t>
  </si>
  <si>
    <t>H11137涨跌幅</t>
  </si>
  <si>
    <t>美-人中间价</t>
  </si>
  <si>
    <t>513050净值</t>
  </si>
  <si>
    <t>H30533涨跌幅</t>
  </si>
  <si>
    <t>需要手动输入</t>
  </si>
  <si>
    <r>
      <rPr>
        <b/>
        <sz val="11"/>
        <color theme="1"/>
        <rFont val="宋体"/>
        <family val="3"/>
        <charset val="134"/>
        <scheme val="minor"/>
      </rPr>
      <t>T-2日</t>
    </r>
  </si>
  <si>
    <t>集思录</t>
  </si>
  <si>
    <t>164906估值误差</t>
  </si>
  <si>
    <t>513050误差</t>
  </si>
  <si>
    <t>用指数估值</t>
  </si>
  <si>
    <t>净值涨跌幅</t>
  </si>
  <si>
    <t>估算</t>
  </si>
  <si>
    <t>H11137</t>
  </si>
  <si>
    <t>H11137叠加汇率</t>
  </si>
  <si>
    <t>H11136</t>
  </si>
  <si>
    <t>woody</t>
  </si>
  <si>
    <t>H30533</t>
  </si>
  <si>
    <t>数据来源：东方财富Choice数据</t>
  </si>
  <si>
    <t>BABA.N</t>
  </si>
  <si>
    <t>PDD.O</t>
  </si>
  <si>
    <t>JD.O</t>
  </si>
  <si>
    <t>BILI.O</t>
  </si>
  <si>
    <t>NTES.O</t>
  </si>
  <si>
    <t>TAL.N</t>
  </si>
  <si>
    <t>BIDU.O</t>
  </si>
  <si>
    <t>VIPS.N</t>
  </si>
  <si>
    <t>TCOM.O</t>
  </si>
  <si>
    <t>IQ.O</t>
  </si>
  <si>
    <t>TME.N</t>
  </si>
  <si>
    <t>GSX.N</t>
  </si>
  <si>
    <t>WUBA.N</t>
  </si>
  <si>
    <t>YY.O</t>
  </si>
  <si>
    <t>ATHM.N</t>
  </si>
  <si>
    <t>MOMO.O</t>
  </si>
  <si>
    <t>JOBS.O</t>
  </si>
  <si>
    <t>SINA.O</t>
  </si>
  <si>
    <t>WB.O</t>
  </si>
  <si>
    <t>VNET.O</t>
  </si>
  <si>
    <t>DOYU.O</t>
  </si>
  <si>
    <t>BZUN.O</t>
  </si>
  <si>
    <t>LX.O</t>
  </si>
  <si>
    <t>OCFT.N</t>
  </si>
  <si>
    <t>HUYA.N</t>
  </si>
  <si>
    <t>FANH.O</t>
  </si>
  <si>
    <t>SY.O</t>
  </si>
  <si>
    <t>DAO.N</t>
  </si>
  <si>
    <t>QFIN.O</t>
  </si>
  <si>
    <t>SOGO.N</t>
  </si>
  <si>
    <t>QTT.O</t>
  </si>
  <si>
    <t>QD.N</t>
  </si>
  <si>
    <t>阿里巴巴</t>
  </si>
  <si>
    <t>拼多多</t>
  </si>
  <si>
    <t>京东</t>
  </si>
  <si>
    <t>哔哩哔哩</t>
  </si>
  <si>
    <t>网易</t>
  </si>
  <si>
    <t>好未来</t>
  </si>
  <si>
    <t>百度</t>
  </si>
  <si>
    <t>唯品会</t>
  </si>
  <si>
    <t>携程</t>
  </si>
  <si>
    <t>爱奇艺</t>
  </si>
  <si>
    <t>腾讯音乐</t>
  </si>
  <si>
    <t>跟谁学</t>
  </si>
  <si>
    <t>58同城</t>
  </si>
  <si>
    <t>欢聚时代</t>
  </si>
  <si>
    <t>汽车之家</t>
  </si>
  <si>
    <t>陌陌</t>
  </si>
  <si>
    <t>前程无忧</t>
  </si>
  <si>
    <t>新浪</t>
  </si>
  <si>
    <t>微博</t>
  </si>
  <si>
    <t>世纪互联</t>
  </si>
  <si>
    <t>斗鱼</t>
  </si>
  <si>
    <t>宝尊电商</t>
  </si>
  <si>
    <t>乐信</t>
  </si>
  <si>
    <t>金融壹账通</t>
  </si>
  <si>
    <t>虎牙</t>
  </si>
  <si>
    <t>泛华金控</t>
  </si>
  <si>
    <t>新氧</t>
  </si>
  <si>
    <t>网易有道</t>
  </si>
  <si>
    <t>360金融</t>
  </si>
  <si>
    <t>搜狗</t>
  </si>
  <si>
    <t>趣头条</t>
  </si>
  <si>
    <t>趣店</t>
  </si>
  <si>
    <r>
      <rPr>
        <sz val="9"/>
        <color theme="1"/>
        <rFont val="宋体"/>
        <family val="3"/>
        <charset val="134"/>
      </rPr>
      <t>6.30权重</t>
    </r>
    <r>
      <rPr>
        <sz val="9"/>
        <color theme="1"/>
        <rFont val="Arial"/>
        <family val="2"/>
      </rPr>
      <t>%</t>
    </r>
  </si>
  <si>
    <r>
      <rPr>
        <sz val="9"/>
        <color theme="1"/>
        <rFont val="Arial"/>
        <family val="2"/>
      </rPr>
      <t>6.30</t>
    </r>
    <r>
      <rPr>
        <sz val="9"/>
        <color theme="1"/>
        <rFont val="宋体"/>
        <family val="3"/>
        <charset val="134"/>
      </rPr>
      <t>股价</t>
    </r>
  </si>
  <si>
    <r>
      <rPr>
        <sz val="9"/>
        <color theme="1"/>
        <rFont val="宋体"/>
        <family val="3"/>
        <charset val="134"/>
      </rPr>
      <t>最新估值</t>
    </r>
  </si>
  <si>
    <r>
      <rPr>
        <sz val="9"/>
        <color theme="1"/>
        <rFont val="宋体"/>
        <family val="3"/>
        <charset val="134"/>
      </rPr>
      <t>最新权重</t>
    </r>
    <r>
      <rPr>
        <sz val="9"/>
        <color theme="1"/>
        <rFont val="Arial"/>
        <family val="2"/>
      </rPr>
      <t>%</t>
    </r>
  </si>
  <si>
    <t>港股权重</t>
  </si>
  <si>
    <t>港股贡献值</t>
  </si>
  <si>
    <t>美股权重</t>
  </si>
  <si>
    <t>美股贡献值</t>
  </si>
  <si>
    <r>
      <rPr>
        <sz val="9"/>
        <color theme="1"/>
        <rFont val="宋体"/>
        <family val="3"/>
        <charset val="134"/>
      </rPr>
      <t>7.17权重</t>
    </r>
    <r>
      <rPr>
        <sz val="9"/>
        <color theme="1"/>
        <rFont val="Arial"/>
        <family val="2"/>
      </rPr>
      <t>%</t>
    </r>
  </si>
  <si>
    <r>
      <rPr>
        <sz val="9"/>
        <color theme="1"/>
        <rFont val="Arial"/>
        <family val="2"/>
      </rPr>
      <t>7.16</t>
    </r>
    <r>
      <rPr>
        <sz val="9"/>
        <color theme="1"/>
        <rFont val="宋体"/>
        <family val="3"/>
        <charset val="134"/>
      </rPr>
      <t>股价</t>
    </r>
  </si>
  <si>
    <t>2019年年报数据</t>
  </si>
  <si>
    <t>2020-12-30数据</t>
  </si>
  <si>
    <t>164906.SZ</t>
  </si>
  <si>
    <t>中国互联</t>
  </si>
  <si>
    <t>513050.SH</t>
  </si>
  <si>
    <t>中概互联网ETF</t>
  </si>
  <si>
    <t>H11137.CSI</t>
  </si>
  <si>
    <t>H30533.CSI</t>
  </si>
  <si>
    <t>H11136.CSI</t>
  </si>
  <si>
    <t>中国互联网（美元）</t>
  </si>
  <si>
    <t>中国互联网50人民币</t>
  </si>
  <si>
    <t>中国互联网</t>
  </si>
  <si>
    <t>164906.OF</t>
  </si>
  <si>
    <t>513050.OF</t>
  </si>
  <si>
    <t>交银中证海外中国互联网指数(QDII-LOF)</t>
  </si>
  <si>
    <t>易方达中证海外中国互联网50(QDII-ETF)</t>
  </si>
  <si>
    <t>HKDCNY.EX</t>
  </si>
  <si>
    <t>USDCNY.EX</t>
  </si>
  <si>
    <t>港币中间价</t>
  </si>
  <si>
    <t>美元中间价</t>
  </si>
  <si>
    <t>腾讯</t>
  </si>
  <si>
    <t>总金额</t>
  </si>
  <si>
    <t>腾讯占比</t>
  </si>
  <si>
    <t>164906占比</t>
  </si>
  <si>
    <t>513050占比</t>
  </si>
  <si>
    <t>稳1</t>
  </si>
  <si>
    <t>稳2</t>
  </si>
  <si>
    <t>宁1</t>
  </si>
  <si>
    <t>宁2财通</t>
  </si>
  <si>
    <t>稳1光大</t>
  </si>
  <si>
    <t>稳1国盛</t>
  </si>
  <si>
    <t>占比</t>
  </si>
  <si>
    <t>IOPV</t>
  </si>
  <si>
    <t>溢折率%</t>
  </si>
  <si>
    <t>ES00Y.CBT</t>
  </si>
  <si>
    <t>NQ00Y.CBT</t>
  </si>
  <si>
    <t>USDCNY.IB</t>
  </si>
  <si>
    <t>159941.OF</t>
  </si>
  <si>
    <t>513500.OF</t>
  </si>
  <si>
    <t>513100.OF</t>
  </si>
  <si>
    <t>美元兑人民币询价(CFETS)</t>
  </si>
  <si>
    <t>广发纳斯达克100ETF(QDII)</t>
  </si>
  <si>
    <t>博时标普500ETF(QDII)</t>
  </si>
  <si>
    <t>国泰纳斯达克100(QDII-ETF)</t>
  </si>
  <si>
    <t>EURCNY.EX</t>
  </si>
  <si>
    <t>EURCNY.IB</t>
  </si>
  <si>
    <t>JPYCNY.EX</t>
  </si>
  <si>
    <t>JPYCNY.IB</t>
  </si>
  <si>
    <t>欧元中间价</t>
  </si>
  <si>
    <t>欧元兑人民币询价(CFETS)</t>
  </si>
  <si>
    <t>日元中间价</t>
  </si>
  <si>
    <t>日元兑人民币询价(CFETS)</t>
  </si>
  <si>
    <t>513030.OF</t>
  </si>
  <si>
    <t>513080.OF</t>
  </si>
  <si>
    <t>513000.OF</t>
  </si>
  <si>
    <t>513520.OF</t>
  </si>
  <si>
    <t>513880.OF</t>
  </si>
  <si>
    <t>513800.OF</t>
  </si>
  <si>
    <t>华安德国30(DAX)ETF(QDII)</t>
  </si>
  <si>
    <t>华安法国CAC40ETF(QDII)</t>
  </si>
  <si>
    <t>易方达日经225ETF(QDII)</t>
  </si>
  <si>
    <t>华夏野村日经225ETF(QDII)</t>
  </si>
  <si>
    <t>华安日经225ETF(QDII)</t>
  </si>
  <si>
    <t>南方顶峰TOPIX(ETF-QDII)</t>
  </si>
  <si>
    <t>FCHI.GI</t>
  </si>
  <si>
    <t>GDAXI.GI</t>
  </si>
  <si>
    <t>HSI.HI</t>
  </si>
  <si>
    <t>IXIC.GI</t>
  </si>
  <si>
    <t>N225.GI</t>
  </si>
  <si>
    <t>NDX.GI</t>
  </si>
  <si>
    <t>SENSEX.GI</t>
  </si>
  <si>
    <t>SPX.GI</t>
  </si>
  <si>
    <t>HSCEI.HI</t>
  </si>
  <si>
    <t>法国CAC40</t>
  </si>
  <si>
    <t>德国DAX</t>
  </si>
  <si>
    <t>恒生指数</t>
  </si>
  <si>
    <t>纳斯达克</t>
  </si>
  <si>
    <t>日经225</t>
  </si>
  <si>
    <t>纳斯达克100</t>
  </si>
  <si>
    <t>孟买Sensex30</t>
  </si>
  <si>
    <t>恒生国企指数</t>
  </si>
  <si>
    <t>法国主连</t>
  </si>
  <si>
    <t>德国主连</t>
  </si>
  <si>
    <t>日经主连</t>
  </si>
  <si>
    <t>印度主连</t>
  </si>
  <si>
    <r>
      <rPr>
        <sz val="9"/>
        <color theme="1"/>
        <rFont val="宋体"/>
        <family val="3"/>
        <charset val="134"/>
      </rPr>
      <t>最新价</t>
    </r>
  </si>
  <si>
    <r>
      <rPr>
        <sz val="9"/>
        <color theme="1"/>
        <rFont val="宋体"/>
        <family val="3"/>
        <charset val="134"/>
      </rPr>
      <t>涨跌幅</t>
    </r>
  </si>
  <si>
    <t>成交量</t>
  </si>
  <si>
    <t>折溢价</t>
  </si>
  <si>
    <t>调整后IOPV</t>
  </si>
  <si>
    <t>国企指数</t>
  </si>
  <si>
    <t>950090.CSI</t>
  </si>
  <si>
    <t>50AH优选人民币</t>
  </si>
  <si>
    <t>HSFML25.HI</t>
  </si>
  <si>
    <t>恒生中国(香港上市)25</t>
  </si>
  <si>
    <t>501301.SH</t>
  </si>
  <si>
    <t>香港大盘LOF</t>
  </si>
  <si>
    <t>HSSI</t>
  </si>
  <si>
    <t>恒生综合小型股指数</t>
  </si>
  <si>
    <t>HSMSI</t>
  </si>
  <si>
    <t>恒生综合中小型股指数</t>
  </si>
  <si>
    <t>930746.CSI</t>
  </si>
  <si>
    <t>港中小企港元</t>
  </si>
  <si>
    <t>501021.OF</t>
  </si>
  <si>
    <t>华宝香港中小(QDII-LOF)A</t>
  </si>
  <si>
    <t>501050.OF</t>
  </si>
  <si>
    <t>华夏上证50AH优选指数(LOF)A</t>
  </si>
  <si>
    <t>501301.OF</t>
  </si>
  <si>
    <t>华宝香港大盘A(LOF)</t>
  </si>
  <si>
    <t>161124.OF</t>
  </si>
  <si>
    <t>易方达香港恒生综合小型股指数(QDII-LOF)A</t>
  </si>
  <si>
    <t>160922.OF</t>
  </si>
  <si>
    <t>大成恒生综合中小型股指数(QDII-LOF)A</t>
  </si>
  <si>
    <t>501023.OF</t>
  </si>
  <si>
    <t>鹏华香港中小企业指数(LOF)</t>
  </si>
  <si>
    <t>160125.OF</t>
  </si>
  <si>
    <t>南方香港优选股票(QDII-LOF)</t>
  </si>
  <si>
    <t>160924.OF</t>
  </si>
  <si>
    <t>大成恒生指数(QDII-LOF)</t>
  </si>
  <si>
    <t>160717.OF</t>
  </si>
  <si>
    <t>嘉实恒生中国企业(QDII-LOF)</t>
  </si>
  <si>
    <t>161831.OF</t>
  </si>
  <si>
    <t>银华恒生国企指数分级(QDII)</t>
  </si>
  <si>
    <t>164705.OF</t>
  </si>
  <si>
    <t>汇添富恒生指数分级(QDII)</t>
  </si>
  <si>
    <t>跟踪指数</t>
  </si>
  <si>
    <r>
      <rPr>
        <sz val="8"/>
        <rFont val="宋体"/>
        <family val="3"/>
        <charset val="134"/>
      </rPr>
      <t>基金代码</t>
    </r>
  </si>
  <si>
    <t>T-2净值</t>
  </si>
  <si>
    <t>T-1指数涨跌</t>
  </si>
  <si>
    <t>T-1汇率变化</t>
  </si>
  <si>
    <t>T汇率变化</t>
  </si>
  <si>
    <t>T-1日估值</t>
  </si>
  <si>
    <t>T日估值</t>
  </si>
  <si>
    <t>T-2指数</t>
  </si>
  <si>
    <t>T-1指数</t>
  </si>
  <si>
    <t>T期指现价</t>
  </si>
  <si>
    <t>场内价格</t>
  </si>
  <si>
    <t>折溢价率</t>
  </si>
  <si>
    <r>
      <rPr>
        <sz val="7"/>
        <rFont val="宋体"/>
        <family val="3"/>
        <charset val="134"/>
      </rPr>
      <t>德国</t>
    </r>
    <r>
      <rPr>
        <sz val="7"/>
        <rFont val="Times New Roman"/>
        <family val="1"/>
      </rPr>
      <t>30</t>
    </r>
  </si>
  <si>
    <r>
      <rPr>
        <sz val="7"/>
        <rFont val="宋体"/>
        <family val="3"/>
        <charset val="134"/>
      </rPr>
      <t>德国</t>
    </r>
    <r>
      <rPr>
        <sz val="7"/>
        <rFont val="Times New Roman"/>
        <family val="1"/>
      </rPr>
      <t>513030</t>
    </r>
  </si>
  <si>
    <r>
      <rPr>
        <sz val="7"/>
        <color rgb="FFFF0000"/>
        <rFont val="宋体"/>
        <family val="3"/>
        <charset val="134"/>
      </rPr>
      <t>纳指</t>
    </r>
    <r>
      <rPr>
        <sz val="7"/>
        <color rgb="FFFF0000"/>
        <rFont val="Times New Roman"/>
        <family val="1"/>
      </rPr>
      <t>100</t>
    </r>
    <r>
      <rPr>
        <sz val="7"/>
        <color rgb="FFFF0000"/>
        <rFont val="宋体"/>
        <family val="3"/>
        <charset val="134"/>
      </rPr>
      <t>指数</t>
    </r>
  </si>
  <si>
    <r>
      <rPr>
        <sz val="7"/>
        <rFont val="宋体"/>
        <family val="3"/>
        <charset val="134"/>
      </rPr>
      <t>纳指</t>
    </r>
    <r>
      <rPr>
        <sz val="7"/>
        <rFont val="Times New Roman"/>
        <family val="1"/>
      </rPr>
      <t>159941</t>
    </r>
  </si>
  <si>
    <r>
      <rPr>
        <sz val="7"/>
        <rFont val="宋体"/>
        <family val="3"/>
        <charset val="134"/>
      </rPr>
      <t>法国</t>
    </r>
    <r>
      <rPr>
        <sz val="7"/>
        <rFont val="Times New Roman"/>
        <family val="1"/>
      </rPr>
      <t>513080</t>
    </r>
  </si>
  <si>
    <t>同花顺</t>
    <phoneticPr fontId="30" type="noConversion"/>
  </si>
  <si>
    <t>同花顺</t>
    <phoneticPr fontId="30" type="noConversion"/>
  </si>
  <si>
    <t>同花顺</t>
    <phoneticPr fontId="3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</si>
</sst>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6" formatCode="#,##0_ "/>
    <numFmt numFmtId="177" formatCode="0.000_ "/>
    <numFmt numFmtId="178" formatCode="0.00_ "/>
    <numFmt numFmtId="179" formatCode="0.0000_ "/>
    <numFmt numFmtId="180" formatCode="0.0%"/>
    <numFmt numFmtId="181" formatCode="#,##0.00_ "/>
    <numFmt numFmtId="182" formatCode="0.00_);[Red]\(0.00\)"/>
    <numFmt numFmtId="183" formatCode="0.000_);[Red]\(0.000\)"/>
    <numFmt numFmtId="184" formatCode="0_);[Red]\(0\)"/>
    <numFmt numFmtId="185" formatCode="#,##0.0000"/>
    <numFmt numFmtId="186" formatCode="0.0_ "/>
    <numFmt numFmtId="187" formatCode="0.0_);[Red]\(0.0\)"/>
    <numFmt numFmtId="188" formatCode="0_ "/>
    <numFmt numFmtId="189" formatCode="0.0000_);[Red]\(0.0000\)"/>
    <numFmt numFmtId="190" formatCode="#,##0.0"/>
  </numFmts>
  <fonts count="31" x14ac:knownFonts="1">
    <font>
      <sz val="11"/>
      <color theme="1"/>
      <name val="宋体"/>
      <charset val="134"/>
      <scheme val="minor"/>
    </font>
    <font>
      <sz val="7"/>
      <name val="宋体"/>
      <family val="3"/>
      <charset val="134"/>
    </font>
    <font>
      <sz val="8"/>
      <name val="Times New Roman"/>
      <family val="1"/>
    </font>
    <font>
      <sz val="8"/>
      <name val="宋体"/>
      <family val="3"/>
      <charset val="134"/>
    </font>
    <font>
      <sz val="7"/>
      <name val="Times New Roman"/>
      <family val="1"/>
    </font>
    <font>
      <sz val="7"/>
      <color rgb="FFFF0000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color theme="1"/>
      <name val="Arial"/>
      <family val="2"/>
    </font>
    <font>
      <sz val="11"/>
      <color indexed="8"/>
      <name val="宋体"/>
      <family val="3"/>
      <charset val="134"/>
    </font>
    <font>
      <sz val="10"/>
      <color indexed="8"/>
      <name val="宋体"/>
      <family val="3"/>
      <charset val="134"/>
    </font>
    <font>
      <sz val="9"/>
      <color indexed="8"/>
      <name val="Arial"/>
      <family val="2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  <scheme val="minor"/>
    </font>
    <font>
      <sz val="10"/>
      <name val="Arial"/>
      <family val="2"/>
    </font>
    <font>
      <sz val="10"/>
      <color rgb="FFFF0000"/>
      <name val="宋体"/>
      <family val="3"/>
      <charset val="134"/>
      <scheme val="minor"/>
    </font>
    <font>
      <b/>
      <sz val="14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1"/>
      <color theme="6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b/>
      <sz val="11"/>
      <color indexed="8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b/>
      <sz val="11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indexed="8"/>
      <name val="等线"/>
      <family val="3"/>
      <charset val="134"/>
    </font>
    <font>
      <sz val="11"/>
      <color theme="1"/>
      <name val="宋体"/>
      <family val="3"/>
      <charset val="134"/>
      <scheme val="minor"/>
    </font>
    <font>
      <sz val="7"/>
      <color rgb="FFFF0000"/>
      <name val="Times New Roman"/>
      <family val="1"/>
    </font>
    <font>
      <sz val="9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76805932798245"/>
        <bgColor indexed="64"/>
      </patternFill>
    </fill>
    <fill>
      <patternFill patternType="solid">
        <fgColor theme="8" tint="0.79976805932798245"/>
        <bgColor indexed="64"/>
      </patternFill>
    </fill>
    <fill>
      <patternFill patternType="solid">
        <fgColor theme="5" tint="0.7997680593279824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64598529007846"/>
        <bgColor indexed="64"/>
      </patternFill>
    </fill>
    <fill>
      <patternFill patternType="solid">
        <fgColor theme="4" tint="0.79967650379955446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9" tint="0.79964598529007846"/>
        <bgColor indexed="64"/>
      </patternFill>
    </fill>
    <fill>
      <patternFill patternType="solid">
        <fgColor theme="9" tint="0.79967650379955446"/>
        <bgColor indexed="64"/>
      </patternFill>
    </fill>
    <fill>
      <patternFill patternType="solid">
        <fgColor theme="5" tint="0.79964598529007846"/>
        <bgColor indexed="64"/>
      </patternFill>
    </fill>
    <fill>
      <patternFill patternType="solid">
        <fgColor theme="5" tint="0.79967650379955446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88402966399123"/>
        <bgColor indexed="64"/>
      </patternFill>
    </fill>
    <fill>
      <patternFill patternType="solid">
        <fgColor theme="6" tint="0.79979857783745845"/>
        <bgColor indexed="64"/>
      </patternFill>
    </fill>
    <fill>
      <patternFill patternType="solid">
        <fgColor theme="7" tint="0.79967650379955446"/>
        <bgColor indexed="64"/>
      </patternFill>
    </fill>
    <fill>
      <patternFill patternType="solid">
        <fgColor theme="8" tint="0.7997985778374584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9" tint="0.7999511703848384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</cellStyleXfs>
  <cellXfs count="216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3" fillId="2" borderId="2" xfId="0" applyNumberFormat="1" applyFont="1" applyFill="1" applyBorder="1" applyAlignment="1">
      <alignment horizontal="center" vertical="center" wrapText="1"/>
    </xf>
    <xf numFmtId="10" fontId="3" fillId="2" borderId="3" xfId="0" applyNumberFormat="1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10" fontId="3" fillId="2" borderId="4" xfId="0" applyNumberFormat="1" applyFont="1" applyFill="1" applyBorder="1" applyAlignment="1">
      <alignment horizontal="center" vertical="center" wrapText="1"/>
    </xf>
    <xf numFmtId="179" fontId="3" fillId="2" borderId="4" xfId="0" applyNumberFormat="1" applyFont="1" applyFill="1" applyBorder="1" applyAlignment="1">
      <alignment horizontal="center" vertical="center" wrapText="1"/>
    </xf>
    <xf numFmtId="0" fontId="1" fillId="2" borderId="5" xfId="0" applyNumberFormat="1" applyFont="1" applyFill="1" applyBorder="1" applyAlignment="1">
      <alignment horizontal="center" vertical="center" wrapText="1"/>
    </xf>
    <xf numFmtId="0" fontId="4" fillId="2" borderId="5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horizontal="center" vertical="center" wrapText="1"/>
    </xf>
    <xf numFmtId="10" fontId="4" fillId="2" borderId="1" xfId="0" applyNumberFormat="1" applyFont="1" applyFill="1" applyBorder="1" applyAlignment="1">
      <alignment horizontal="center" vertical="center" wrapText="1"/>
    </xf>
    <xf numFmtId="0" fontId="5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/>
    </xf>
    <xf numFmtId="178" fontId="3" fillId="2" borderId="3" xfId="0" applyNumberFormat="1" applyFont="1" applyFill="1" applyBorder="1" applyAlignment="1">
      <alignment horizontal="center" vertical="center" wrapText="1"/>
    </xf>
    <xf numFmtId="188" fontId="3" fillId="2" borderId="2" xfId="0" applyNumberFormat="1" applyFont="1" applyFill="1" applyBorder="1" applyAlignment="1">
      <alignment horizontal="center" vertical="center" wrapText="1"/>
    </xf>
    <xf numFmtId="177" fontId="3" fillId="2" borderId="4" xfId="0" applyNumberFormat="1" applyFont="1" applyFill="1" applyBorder="1" applyAlignment="1">
      <alignment horizontal="center" vertical="center" wrapText="1"/>
    </xf>
    <xf numFmtId="182" fontId="3" fillId="2" borderId="2" xfId="0" applyNumberFormat="1" applyFont="1" applyFill="1" applyBorder="1" applyAlignment="1">
      <alignment horizontal="center" vertical="center" wrapText="1"/>
    </xf>
    <xf numFmtId="178" fontId="4" fillId="2" borderId="1" xfId="0" applyNumberFormat="1" applyFont="1" applyFill="1" applyBorder="1" applyAlignment="1">
      <alignment horizontal="center" vertical="center" wrapText="1"/>
    </xf>
    <xf numFmtId="186" fontId="4" fillId="3" borderId="1" xfId="0" applyNumberFormat="1" applyFont="1" applyFill="1" applyBorder="1" applyAlignment="1">
      <alignment horizontal="center" vertical="center" wrapText="1"/>
    </xf>
    <xf numFmtId="177" fontId="4" fillId="3" borderId="1" xfId="0" applyNumberFormat="1" applyFont="1" applyFill="1" applyBorder="1" applyAlignment="1">
      <alignment horizontal="center" vertical="center" wrapText="1"/>
    </xf>
    <xf numFmtId="178" fontId="4" fillId="3" borderId="1" xfId="0" applyNumberFormat="1" applyFont="1" applyFill="1" applyBorder="1" applyAlignment="1">
      <alignment horizontal="center" vertical="center" wrapText="1"/>
    </xf>
    <xf numFmtId="0" fontId="0" fillId="4" borderId="0" xfId="0" applyFill="1">
      <alignment vertical="center"/>
    </xf>
    <xf numFmtId="184" fontId="0" fillId="0" borderId="0" xfId="0" applyNumberFormat="1">
      <alignment vertical="center"/>
    </xf>
    <xf numFmtId="0" fontId="6" fillId="0" borderId="0" xfId="0" applyFont="1">
      <alignment vertical="center"/>
    </xf>
    <xf numFmtId="184" fontId="6" fillId="0" borderId="0" xfId="0" applyNumberFormat="1" applyFont="1">
      <alignment vertical="center"/>
    </xf>
    <xf numFmtId="185" fontId="7" fillId="0" borderId="0" xfId="0" applyNumberFormat="1" applyFont="1" applyFill="1" applyBorder="1">
      <alignment vertical="center"/>
    </xf>
    <xf numFmtId="0" fontId="7" fillId="0" borderId="0" xfId="0" applyNumberFormat="1" applyFont="1" applyFill="1" applyBorder="1">
      <alignment vertical="center"/>
    </xf>
    <xf numFmtId="184" fontId="7" fillId="0" borderId="0" xfId="0" applyNumberFormat="1" applyFont="1" applyFill="1" applyBorder="1">
      <alignment vertical="center"/>
    </xf>
    <xf numFmtId="0" fontId="8" fillId="0" borderId="0" xfId="0" applyNumberFormat="1" applyFont="1" applyFill="1" applyBorder="1" applyAlignment="1" applyProtection="1">
      <alignment vertical="center"/>
    </xf>
    <xf numFmtId="188" fontId="8" fillId="0" borderId="0" xfId="0" applyNumberFormat="1" applyFont="1" applyFill="1" applyBorder="1" applyAlignment="1" applyProtection="1">
      <alignment vertical="center"/>
    </xf>
    <xf numFmtId="0" fontId="9" fillId="0" borderId="0" xfId="0" applyNumberFormat="1" applyFont="1" applyFill="1" applyBorder="1" applyAlignment="1" applyProtection="1">
      <alignment vertical="center"/>
    </xf>
    <xf numFmtId="188" fontId="9" fillId="0" borderId="0" xfId="0" applyNumberFormat="1" applyFont="1" applyFill="1" applyBorder="1" applyAlignment="1" applyProtection="1">
      <alignment vertical="center"/>
    </xf>
    <xf numFmtId="185" fontId="10" fillId="0" borderId="0" xfId="0" applyNumberFormat="1" applyFont="1" applyFill="1" applyBorder="1" applyAlignment="1" applyProtection="1">
      <alignment vertical="center"/>
    </xf>
    <xf numFmtId="0" fontId="10" fillId="0" borderId="0" xfId="0" applyNumberFormat="1" applyFont="1" applyFill="1" applyBorder="1" applyAlignment="1" applyProtection="1">
      <alignment vertical="center"/>
    </xf>
    <xf numFmtId="188" fontId="10" fillId="0" borderId="0" xfId="0" applyNumberFormat="1" applyFont="1" applyFill="1" applyBorder="1" applyAlignment="1" applyProtection="1">
      <alignment vertical="center"/>
    </xf>
    <xf numFmtId="3" fontId="10" fillId="0" borderId="0" xfId="0" applyNumberFormat="1" applyFont="1" applyFill="1" applyBorder="1" applyAlignment="1" applyProtection="1">
      <alignment vertical="center"/>
    </xf>
    <xf numFmtId="185" fontId="7" fillId="0" borderId="0" xfId="0" applyNumberFormat="1" applyFont="1" applyFill="1" applyBorder="1" applyAlignment="1">
      <alignment horizontal="center" vertical="center"/>
    </xf>
    <xf numFmtId="0" fontId="0" fillId="0" borderId="0" xfId="0" applyFont="1">
      <alignment vertical="center"/>
    </xf>
    <xf numFmtId="178" fontId="8" fillId="0" borderId="0" xfId="0" applyNumberFormat="1" applyFont="1" applyFill="1" applyBorder="1" applyAlignment="1" applyProtection="1">
      <alignment horizontal="center" vertical="center"/>
    </xf>
    <xf numFmtId="178" fontId="8" fillId="3" borderId="0" xfId="0" applyNumberFormat="1" applyFont="1" applyFill="1" applyBorder="1" applyAlignment="1" applyProtection="1">
      <alignment horizontal="center" vertical="center"/>
    </xf>
    <xf numFmtId="178" fontId="8" fillId="0" borderId="0" xfId="0" applyNumberFormat="1" applyFont="1" applyFill="1" applyBorder="1" applyAlignment="1" applyProtection="1">
      <alignment vertical="center"/>
    </xf>
    <xf numFmtId="10" fontId="8" fillId="0" borderId="0" xfId="0" applyNumberFormat="1" applyFont="1" applyFill="1" applyBorder="1" applyAlignment="1" applyProtection="1">
      <alignment horizontal="center" vertical="center"/>
    </xf>
    <xf numFmtId="179" fontId="8" fillId="0" borderId="0" xfId="0" applyNumberFormat="1" applyFont="1" applyFill="1" applyBorder="1" applyAlignment="1" applyProtection="1">
      <alignment vertical="center"/>
    </xf>
    <xf numFmtId="0" fontId="0" fillId="0" borderId="1" xfId="0" applyFont="1" applyBorder="1">
      <alignment vertical="center"/>
    </xf>
    <xf numFmtId="0" fontId="0" fillId="0" borderId="1" xfId="0" applyFont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right" vertical="center"/>
    </xf>
    <xf numFmtId="180" fontId="0" fillId="0" borderId="1" xfId="1" applyNumberFormat="1" applyFont="1" applyBorder="1">
      <alignment vertical="center"/>
    </xf>
    <xf numFmtId="0" fontId="12" fillId="0" borderId="6" xfId="0" applyFont="1" applyBorder="1">
      <alignment vertical="center"/>
    </xf>
    <xf numFmtId="0" fontId="11" fillId="6" borderId="1" xfId="0" applyFont="1" applyFill="1" applyBorder="1">
      <alignment vertical="center"/>
    </xf>
    <xf numFmtId="0" fontId="11" fillId="6" borderId="1" xfId="0" applyFont="1" applyFill="1" applyBorder="1" applyAlignment="1">
      <alignment horizontal="right" vertical="center"/>
    </xf>
    <xf numFmtId="180" fontId="11" fillId="6" borderId="1" xfId="1" applyNumberFormat="1" applyFont="1" applyFill="1" applyBorder="1">
      <alignment vertical="center"/>
    </xf>
    <xf numFmtId="0" fontId="12" fillId="0" borderId="0" xfId="0" applyFont="1">
      <alignment vertical="center"/>
    </xf>
    <xf numFmtId="180" fontId="0" fillId="0" borderId="0" xfId="1" applyNumberFormat="1" applyFont="1">
      <alignment vertical="center"/>
    </xf>
    <xf numFmtId="0" fontId="11" fillId="0" borderId="1" xfId="0" applyFont="1" applyBorder="1" applyAlignment="1">
      <alignment horizontal="right" vertical="center"/>
    </xf>
    <xf numFmtId="0" fontId="11" fillId="7" borderId="1" xfId="0" applyFont="1" applyFill="1" applyBorder="1" applyAlignment="1">
      <alignment horizontal="center" vertical="center"/>
    </xf>
    <xf numFmtId="180" fontId="11" fillId="0" borderId="1" xfId="1" applyNumberFormat="1" applyFont="1" applyBorder="1">
      <alignment vertical="center"/>
    </xf>
    <xf numFmtId="0" fontId="13" fillId="0" borderId="0" xfId="0" applyFont="1">
      <alignment vertical="center"/>
    </xf>
    <xf numFmtId="2" fontId="0" fillId="0" borderId="0" xfId="0" applyNumberFormat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6" fillId="10" borderId="0" xfId="0" applyFont="1" applyFill="1">
      <alignment vertical="center"/>
    </xf>
    <xf numFmtId="4" fontId="7" fillId="0" borderId="0" xfId="0" applyNumberFormat="1" applyFont="1" applyFill="1" applyBorder="1">
      <alignment vertical="center"/>
    </xf>
    <xf numFmtId="4" fontId="0" fillId="0" borderId="0" xfId="0" applyNumberFormat="1">
      <alignment vertical="center"/>
    </xf>
    <xf numFmtId="4" fontId="0" fillId="8" borderId="0" xfId="0" applyNumberFormat="1" applyFont="1" applyFill="1">
      <alignment vertical="center"/>
    </xf>
    <xf numFmtId="4" fontId="0" fillId="8" borderId="0" xfId="0" applyNumberFormat="1" applyFill="1">
      <alignment vertical="center"/>
    </xf>
    <xf numFmtId="0" fontId="11" fillId="0" borderId="0" xfId="0" applyFont="1">
      <alignment vertical="center"/>
    </xf>
    <xf numFmtId="180" fontId="11" fillId="0" borderId="0" xfId="1" applyNumberFormat="1" applyFont="1">
      <alignment vertical="center"/>
    </xf>
    <xf numFmtId="10" fontId="11" fillId="0" borderId="0" xfId="1" applyNumberFormat="1" applyFont="1">
      <alignment vertical="center"/>
    </xf>
    <xf numFmtId="185" fontId="14" fillId="0" borderId="0" xfId="0" applyNumberFormat="1" applyFont="1" applyFill="1" applyBorder="1" applyAlignment="1" applyProtection="1"/>
    <xf numFmtId="0" fontId="14" fillId="0" borderId="0" xfId="0" applyFont="1" applyFill="1" applyBorder="1" applyAlignment="1" applyProtection="1">
      <alignment horizontal="center"/>
    </xf>
    <xf numFmtId="4" fontId="0" fillId="0" borderId="0" xfId="0" applyNumberFormat="1" applyFont="1">
      <alignment vertical="center"/>
    </xf>
    <xf numFmtId="182" fontId="0" fillId="0" borderId="0" xfId="1" applyNumberFormat="1" applyFont="1">
      <alignment vertical="center"/>
    </xf>
    <xf numFmtId="182" fontId="0" fillId="0" borderId="0" xfId="1" applyNumberFormat="1" applyFont="1" applyFill="1">
      <alignment vertical="center"/>
    </xf>
    <xf numFmtId="0" fontId="0" fillId="0" borderId="0" xfId="0" applyAlignment="1">
      <alignment vertical="center" wrapText="1"/>
    </xf>
    <xf numFmtId="0" fontId="0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vertical="center"/>
    </xf>
    <xf numFmtId="0" fontId="15" fillId="0" borderId="0" xfId="0" applyFont="1">
      <alignment vertical="center"/>
    </xf>
    <xf numFmtId="190" fontId="7" fillId="0" borderId="0" xfId="0" applyNumberFormat="1" applyFont="1" applyFill="1" applyBorder="1">
      <alignment vertical="center"/>
    </xf>
    <xf numFmtId="0" fontId="6" fillId="0" borderId="0" xfId="0" applyFont="1" applyAlignment="1">
      <alignment vertical="center" wrapText="1"/>
    </xf>
    <xf numFmtId="0" fontId="16" fillId="11" borderId="0" xfId="0" applyFont="1" applyFill="1" applyBorder="1" applyAlignment="1">
      <alignment vertical="center" wrapText="1"/>
    </xf>
    <xf numFmtId="0" fontId="0" fillId="11" borderId="0" xfId="0" applyFont="1" applyFill="1" applyBorder="1" applyAlignment="1">
      <alignment vertical="center" wrapText="1"/>
    </xf>
    <xf numFmtId="14" fontId="0" fillId="0" borderId="0" xfId="0" applyNumberFormat="1" applyFill="1" applyBorder="1" applyAlignment="1">
      <alignment vertical="center"/>
    </xf>
    <xf numFmtId="14" fontId="0" fillId="0" borderId="0" xfId="0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90" fontId="0" fillId="11" borderId="0" xfId="0" applyNumberFormat="1" applyFont="1" applyFill="1" applyBorder="1" applyAlignment="1">
      <alignment vertical="center"/>
    </xf>
    <xf numFmtId="186" fontId="0" fillId="11" borderId="0" xfId="0" applyNumberFormat="1" applyFont="1" applyFill="1" applyBorder="1" applyAlignment="1">
      <alignment vertical="center"/>
    </xf>
    <xf numFmtId="188" fontId="0" fillId="11" borderId="0" xfId="0" applyNumberFormat="1" applyFont="1" applyFill="1" applyBorder="1" applyAlignment="1">
      <alignment vertical="center"/>
    </xf>
    <xf numFmtId="187" fontId="0" fillId="11" borderId="0" xfId="0" applyNumberFormat="1" applyFont="1" applyFill="1" applyBorder="1" applyAlignment="1">
      <alignment vertical="center"/>
    </xf>
    <xf numFmtId="0" fontId="0" fillId="11" borderId="0" xfId="0" applyFont="1" applyFill="1" applyBorder="1" applyAlignment="1">
      <alignment vertical="center"/>
    </xf>
    <xf numFmtId="49" fontId="16" fillId="12" borderId="0" xfId="0" applyNumberFormat="1" applyFont="1" applyFill="1" applyBorder="1" applyAlignment="1">
      <alignment vertical="center" wrapText="1"/>
    </xf>
    <xf numFmtId="0" fontId="0" fillId="12" borderId="0" xfId="0" applyFont="1" applyFill="1" applyBorder="1" applyAlignment="1">
      <alignment vertical="center" wrapText="1"/>
    </xf>
    <xf numFmtId="0" fontId="0" fillId="13" borderId="0" xfId="0" applyFont="1" applyFill="1" applyBorder="1" applyAlignment="1">
      <alignment vertical="center"/>
    </xf>
    <xf numFmtId="186" fontId="0" fillId="13" borderId="0" xfId="0" applyNumberFormat="1" applyFont="1" applyFill="1" applyBorder="1" applyAlignment="1">
      <alignment vertical="center"/>
    </xf>
    <xf numFmtId="188" fontId="0" fillId="13" borderId="0" xfId="0" applyNumberFormat="1" applyFont="1" applyFill="1" applyBorder="1" applyAlignment="1">
      <alignment vertical="center"/>
    </xf>
    <xf numFmtId="187" fontId="8" fillId="14" borderId="0" xfId="0" applyNumberFormat="1" applyFont="1" applyFill="1" applyBorder="1" applyAlignment="1" applyProtection="1">
      <alignment vertical="center"/>
    </xf>
    <xf numFmtId="49" fontId="16" fillId="15" borderId="0" xfId="0" applyNumberFormat="1" applyFont="1" applyFill="1" applyBorder="1" applyAlignment="1">
      <alignment vertical="center" wrapText="1"/>
    </xf>
    <xf numFmtId="0" fontId="0" fillId="15" borderId="0" xfId="0" applyFont="1" applyFill="1" applyBorder="1" applyAlignment="1">
      <alignment vertical="center" wrapText="1"/>
    </xf>
    <xf numFmtId="0" fontId="0" fillId="16" borderId="0" xfId="0" applyFont="1" applyFill="1" applyBorder="1" applyAlignment="1">
      <alignment vertical="center"/>
    </xf>
    <xf numFmtId="186" fontId="0" fillId="16" borderId="0" xfId="0" applyNumberFormat="1" applyFont="1" applyFill="1" applyBorder="1" applyAlignment="1">
      <alignment vertical="center"/>
    </xf>
    <xf numFmtId="188" fontId="0" fillId="15" borderId="0" xfId="0" applyNumberFormat="1" applyFont="1" applyFill="1" applyBorder="1" applyAlignment="1">
      <alignment vertical="center"/>
    </xf>
    <xf numFmtId="187" fontId="0" fillId="16" borderId="0" xfId="0" applyNumberFormat="1" applyFont="1" applyFill="1" applyBorder="1" applyAlignment="1">
      <alignment vertical="center"/>
    </xf>
    <xf numFmtId="188" fontId="0" fillId="16" borderId="0" xfId="0" applyNumberFormat="1" applyFont="1" applyFill="1" applyBorder="1" applyAlignment="1">
      <alignment vertical="center"/>
    </xf>
    <xf numFmtId="0" fontId="16" fillId="17" borderId="0" xfId="0" applyFont="1" applyFill="1" applyBorder="1" applyAlignment="1">
      <alignment vertical="center" wrapText="1"/>
    </xf>
    <xf numFmtId="0" fontId="0" fillId="17" borderId="0" xfId="0" applyFont="1" applyFill="1" applyBorder="1" applyAlignment="1">
      <alignment vertical="center" wrapText="1"/>
    </xf>
    <xf numFmtId="0" fontId="0" fillId="18" borderId="0" xfId="0" applyFont="1" applyFill="1" applyBorder="1" applyAlignment="1">
      <alignment vertical="center"/>
    </xf>
    <xf numFmtId="186" fontId="0" fillId="18" borderId="0" xfId="0" applyNumberFormat="1" applyFont="1" applyFill="1" applyBorder="1" applyAlignment="1">
      <alignment vertical="center"/>
    </xf>
    <xf numFmtId="188" fontId="0" fillId="18" borderId="0" xfId="0" applyNumberFormat="1" applyFont="1" applyFill="1" applyBorder="1" applyAlignment="1">
      <alignment vertical="center"/>
    </xf>
    <xf numFmtId="187" fontId="0" fillId="18" borderId="0" xfId="0" applyNumberFormat="1" applyFont="1" applyFill="1" applyBorder="1" applyAlignment="1">
      <alignment vertical="center"/>
    </xf>
    <xf numFmtId="49" fontId="17" fillId="19" borderId="1" xfId="0" applyNumberFormat="1" applyFont="1" applyFill="1" applyBorder="1" applyAlignment="1">
      <alignment vertical="center"/>
    </xf>
    <xf numFmtId="0" fontId="17" fillId="19" borderId="1" xfId="0" applyFont="1" applyFill="1" applyBorder="1" applyAlignment="1">
      <alignment vertical="center" wrapText="1"/>
    </xf>
    <xf numFmtId="14" fontId="17" fillId="19" borderId="1" xfId="0" applyNumberFormat="1" applyFont="1" applyFill="1" applyBorder="1" applyAlignment="1">
      <alignment vertical="center" wrapText="1"/>
    </xf>
    <xf numFmtId="0" fontId="17" fillId="19" borderId="1" xfId="0" applyFont="1" applyFill="1" applyBorder="1" applyAlignment="1">
      <alignment vertical="center"/>
    </xf>
    <xf numFmtId="0" fontId="18" fillId="20" borderId="1" xfId="0" applyFont="1" applyFill="1" applyBorder="1" applyAlignment="1">
      <alignment vertical="center" wrapText="1"/>
    </xf>
    <xf numFmtId="49" fontId="18" fillId="21" borderId="1" xfId="0" applyNumberFormat="1" applyFont="1" applyFill="1" applyBorder="1" applyAlignment="1">
      <alignment vertical="center"/>
    </xf>
    <xf numFmtId="183" fontId="17" fillId="21" borderId="1" xfId="0" applyNumberFormat="1" applyFont="1" applyFill="1" applyBorder="1" applyAlignment="1">
      <alignment vertical="center"/>
    </xf>
    <xf numFmtId="189" fontId="18" fillId="21" borderId="1" xfId="0" applyNumberFormat="1" applyFont="1" applyFill="1" applyBorder="1" applyAlignment="1">
      <alignment vertical="center"/>
    </xf>
    <xf numFmtId="10" fontId="17" fillId="21" borderId="1" xfId="0" applyNumberFormat="1" applyFont="1" applyFill="1" applyBorder="1" applyAlignment="1">
      <alignment vertical="center"/>
    </xf>
    <xf numFmtId="10" fontId="17" fillId="21" borderId="1" xfId="1" applyNumberFormat="1" applyFont="1" applyFill="1" applyBorder="1" applyAlignment="1">
      <alignment vertical="center"/>
    </xf>
    <xf numFmtId="180" fontId="17" fillId="21" borderId="1" xfId="1" applyNumberFormat="1" applyFont="1" applyFill="1" applyBorder="1" applyAlignment="1">
      <alignment vertical="center"/>
    </xf>
    <xf numFmtId="10" fontId="18" fillId="20" borderId="1" xfId="0" applyNumberFormat="1" applyFont="1" applyFill="1" applyBorder="1">
      <alignment vertical="center"/>
    </xf>
    <xf numFmtId="14" fontId="17" fillId="21" borderId="1" xfId="0" applyNumberFormat="1" applyFont="1" applyFill="1" applyBorder="1" applyAlignment="1">
      <alignment vertical="center"/>
    </xf>
    <xf numFmtId="0" fontId="18" fillId="21" borderId="1" xfId="0" applyFont="1" applyFill="1" applyBorder="1" applyAlignment="1">
      <alignment vertical="center"/>
    </xf>
    <xf numFmtId="0" fontId="0" fillId="0" borderId="1" xfId="0" applyBorder="1">
      <alignment vertical="center"/>
    </xf>
    <xf numFmtId="0" fontId="6" fillId="0" borderId="1" xfId="0" applyFont="1" applyBorder="1">
      <alignment vertical="center"/>
    </xf>
    <xf numFmtId="185" fontId="7" fillId="0" borderId="1" xfId="0" applyNumberFormat="1" applyFont="1" applyFill="1" applyBorder="1">
      <alignment vertical="center"/>
    </xf>
    <xf numFmtId="0" fontId="7" fillId="0" borderId="1" xfId="0" applyNumberFormat="1" applyFont="1" applyFill="1" applyBorder="1">
      <alignment vertical="center"/>
    </xf>
    <xf numFmtId="4" fontId="7" fillId="0" borderId="1" xfId="0" applyNumberFormat="1" applyFont="1" applyFill="1" applyBorder="1">
      <alignment vertical="center"/>
    </xf>
    <xf numFmtId="4" fontId="0" fillId="0" borderId="1" xfId="0" applyNumberFormat="1" applyBorder="1">
      <alignment vertical="center"/>
    </xf>
    <xf numFmtId="4" fontId="0" fillId="0" borderId="1" xfId="0" applyNumberFormat="1" applyFont="1" applyBorder="1">
      <alignment vertical="center"/>
    </xf>
    <xf numFmtId="0" fontId="0" fillId="0" borderId="0" xfId="0" applyBorder="1">
      <alignment vertical="center"/>
    </xf>
    <xf numFmtId="0" fontId="0" fillId="0" borderId="0" xfId="0" applyFont="1" applyBorder="1">
      <alignment vertical="center"/>
    </xf>
    <xf numFmtId="0" fontId="11" fillId="0" borderId="0" xfId="0" applyFont="1" applyAlignment="1">
      <alignment horizontal="right" vertical="center"/>
    </xf>
    <xf numFmtId="0" fontId="0" fillId="0" borderId="0" xfId="0" applyFont="1" applyAlignment="1">
      <alignment vertical="center" wrapText="1"/>
    </xf>
    <xf numFmtId="10" fontId="0" fillId="11" borderId="0" xfId="1" applyNumberFormat="1" applyFont="1" applyFill="1">
      <alignment vertical="center"/>
    </xf>
    <xf numFmtId="10" fontId="0" fillId="0" borderId="0" xfId="0" applyNumberFormat="1">
      <alignment vertical="center"/>
    </xf>
    <xf numFmtId="10" fontId="0" fillId="12" borderId="0" xfId="1" applyNumberFormat="1" applyFont="1" applyFill="1" applyAlignment="1">
      <alignment vertical="center" wrapText="1"/>
    </xf>
    <xf numFmtId="10" fontId="0" fillId="12" borderId="0" xfId="1" applyNumberFormat="1" applyFont="1" applyFill="1">
      <alignment vertical="center"/>
    </xf>
    <xf numFmtId="0" fontId="0" fillId="12" borderId="0" xfId="0" applyFont="1" applyFill="1" applyBorder="1" applyAlignment="1">
      <alignment vertical="center"/>
    </xf>
    <xf numFmtId="188" fontId="0" fillId="0" borderId="0" xfId="0" applyNumberFormat="1" applyFont="1" applyFill="1" applyBorder="1" applyAlignment="1">
      <alignment vertical="center"/>
    </xf>
    <xf numFmtId="10" fontId="0" fillId="15" borderId="0" xfId="1" applyNumberFormat="1" applyFont="1" applyFill="1" applyAlignment="1">
      <alignment vertical="center" wrapText="1"/>
    </xf>
    <xf numFmtId="10" fontId="0" fillId="15" borderId="0" xfId="1" applyNumberFormat="1" applyFont="1" applyFill="1">
      <alignment vertical="center"/>
    </xf>
    <xf numFmtId="0" fontId="0" fillId="15" borderId="0" xfId="0" applyFont="1" applyFill="1" applyBorder="1" applyAlignment="1">
      <alignment vertical="center"/>
    </xf>
    <xf numFmtId="0" fontId="19" fillId="22" borderId="0" xfId="0" applyFont="1" applyFill="1" applyBorder="1" applyAlignment="1">
      <alignment vertical="center" wrapText="1"/>
    </xf>
    <xf numFmtId="10" fontId="0" fillId="18" borderId="0" xfId="1" applyNumberFormat="1" applyFont="1" applyFill="1">
      <alignment vertical="center"/>
    </xf>
    <xf numFmtId="10" fontId="0" fillId="22" borderId="0" xfId="1" applyNumberFormat="1" applyFont="1" applyFill="1">
      <alignment vertical="center"/>
    </xf>
    <xf numFmtId="187" fontId="0" fillId="22" borderId="0" xfId="0" applyNumberFormat="1" applyFont="1" applyFill="1" applyBorder="1" applyAlignment="1">
      <alignment vertical="center"/>
    </xf>
    <xf numFmtId="0" fontId="17" fillId="19" borderId="1" xfId="0" applyFont="1" applyFill="1" applyBorder="1">
      <alignment vertical="center"/>
    </xf>
    <xf numFmtId="10" fontId="17" fillId="21" borderId="1" xfId="0" applyNumberFormat="1" applyFont="1" applyFill="1" applyBorder="1">
      <alignment vertical="center"/>
    </xf>
    <xf numFmtId="10" fontId="17" fillId="21" borderId="1" xfId="1" applyNumberFormat="1" applyFont="1" applyFill="1" applyBorder="1">
      <alignment vertical="center"/>
    </xf>
    <xf numFmtId="180" fontId="17" fillId="21" borderId="1" xfId="1" applyNumberFormat="1" applyFont="1" applyFill="1" applyBorder="1">
      <alignment vertical="center"/>
    </xf>
    <xf numFmtId="181" fontId="0" fillId="0" borderId="0" xfId="0" applyNumberFormat="1">
      <alignment vertical="center"/>
    </xf>
    <xf numFmtId="10" fontId="18" fillId="21" borderId="1" xfId="0" applyNumberFormat="1" applyFont="1" applyFill="1" applyBorder="1">
      <alignment vertical="center"/>
    </xf>
    <xf numFmtId="0" fontId="17" fillId="21" borderId="1" xfId="0" applyFont="1" applyFill="1" applyBorder="1">
      <alignment vertical="center"/>
    </xf>
    <xf numFmtId="0" fontId="17" fillId="20" borderId="1" xfId="0" applyFont="1" applyFill="1" applyBorder="1">
      <alignment vertical="center"/>
    </xf>
    <xf numFmtId="0" fontId="20" fillId="0" borderId="7" xfId="0" applyFont="1" applyFill="1" applyBorder="1">
      <alignment vertical="center"/>
    </xf>
    <xf numFmtId="0" fontId="11" fillId="8" borderId="1" xfId="0" applyFont="1" applyFill="1" applyBorder="1">
      <alignment vertical="center"/>
    </xf>
    <xf numFmtId="0" fontId="11" fillId="23" borderId="1" xfId="0" applyFont="1" applyFill="1" applyBorder="1">
      <alignment vertical="center"/>
    </xf>
    <xf numFmtId="0" fontId="11" fillId="0" borderId="1" xfId="0" applyFont="1" applyBorder="1">
      <alignment vertical="center"/>
    </xf>
    <xf numFmtId="180" fontId="11" fillId="8" borderId="1" xfId="1" applyNumberFormat="1" applyFont="1" applyFill="1" applyBorder="1" applyAlignment="1">
      <alignment horizontal="right" vertical="center"/>
    </xf>
    <xf numFmtId="2" fontId="0" fillId="0" borderId="1" xfId="0" applyNumberFormat="1" applyBorder="1">
      <alignment vertical="center"/>
    </xf>
    <xf numFmtId="10" fontId="11" fillId="8" borderId="1" xfId="1" applyNumberFormat="1" applyFont="1" applyFill="1" applyBorder="1">
      <alignment vertical="center"/>
    </xf>
    <xf numFmtId="10" fontId="11" fillId="0" borderId="1" xfId="1" applyNumberFormat="1" applyFont="1" applyBorder="1">
      <alignment vertical="center"/>
    </xf>
    <xf numFmtId="10" fontId="21" fillId="0" borderId="1" xfId="0" applyNumberFormat="1" applyFont="1" applyBorder="1">
      <alignment vertical="center"/>
    </xf>
    <xf numFmtId="10" fontId="0" fillId="0" borderId="0" xfId="1" applyNumberFormat="1" applyFont="1">
      <alignment vertical="center"/>
    </xf>
    <xf numFmtId="10" fontId="22" fillId="0" borderId="0" xfId="1" applyNumberFormat="1" applyFont="1">
      <alignment vertical="center"/>
    </xf>
    <xf numFmtId="0" fontId="11" fillId="23" borderId="1" xfId="0" applyFont="1" applyFill="1" applyBorder="1" applyAlignment="1">
      <alignment vertical="center" wrapText="1"/>
    </xf>
    <xf numFmtId="4" fontId="7" fillId="0" borderId="1" xfId="0" applyNumberFormat="1" applyFont="1" applyBorder="1">
      <alignment vertical="center"/>
    </xf>
    <xf numFmtId="10" fontId="23" fillId="0" borderId="8" xfId="0" applyNumberFormat="1" applyFont="1" applyBorder="1">
      <alignment vertical="center"/>
    </xf>
    <xf numFmtId="10" fontId="23" fillId="0" borderId="0" xfId="0" applyNumberFormat="1" applyFont="1">
      <alignment vertical="center"/>
    </xf>
    <xf numFmtId="10" fontId="24" fillId="0" borderId="0" xfId="0" applyNumberFormat="1" applyFont="1">
      <alignment vertical="center"/>
    </xf>
    <xf numFmtId="0" fontId="25" fillId="24" borderId="1" xfId="0" applyFont="1" applyFill="1" applyBorder="1" applyAlignment="1">
      <alignment horizontal="right" vertical="center"/>
    </xf>
    <xf numFmtId="0" fontId="25" fillId="24" borderId="1" xfId="0" applyFont="1" applyFill="1" applyBorder="1">
      <alignment vertical="center"/>
    </xf>
    <xf numFmtId="0" fontId="25" fillId="0" borderId="0" xfId="0" applyFont="1">
      <alignment vertical="center"/>
    </xf>
    <xf numFmtId="0" fontId="11" fillId="25" borderId="0" xfId="0" applyFont="1" applyFill="1" applyBorder="1">
      <alignment vertical="center"/>
    </xf>
    <xf numFmtId="182" fontId="25" fillId="0" borderId="1" xfId="0" applyNumberFormat="1" applyFont="1" applyBorder="1">
      <alignment vertical="center"/>
    </xf>
    <xf numFmtId="189" fontId="25" fillId="0" borderId="1" xfId="0" applyNumberFormat="1" applyFont="1" applyBorder="1">
      <alignment vertical="center"/>
    </xf>
    <xf numFmtId="179" fontId="25" fillId="0" borderId="1" xfId="0" applyNumberFormat="1" applyFont="1" applyBorder="1">
      <alignment vertical="center"/>
    </xf>
    <xf numFmtId="10" fontId="25" fillId="0" borderId="1" xfId="1" applyNumberFormat="1" applyFont="1" applyBorder="1">
      <alignment vertical="center"/>
    </xf>
    <xf numFmtId="10" fontId="25" fillId="3" borderId="1" xfId="1" applyNumberFormat="1" applyFont="1" applyFill="1" applyBorder="1">
      <alignment vertical="center"/>
    </xf>
    <xf numFmtId="10" fontId="25" fillId="0" borderId="1" xfId="1" applyNumberFormat="1" applyFont="1" applyFill="1" applyBorder="1">
      <alignment vertical="center"/>
    </xf>
    <xf numFmtId="0" fontId="25" fillId="0" borderId="1" xfId="0" applyFont="1" applyBorder="1">
      <alignment vertical="center"/>
    </xf>
    <xf numFmtId="14" fontId="25" fillId="0" borderId="1" xfId="0" applyNumberFormat="1" applyFont="1" applyBorder="1">
      <alignment vertical="center"/>
    </xf>
    <xf numFmtId="10" fontId="25" fillId="0" borderId="1" xfId="1" applyNumberFormat="1" applyFont="1" applyFill="1" applyBorder="1" applyAlignment="1" applyProtection="1">
      <alignment vertical="center"/>
    </xf>
    <xf numFmtId="10" fontId="0" fillId="0" borderId="1" xfId="0" applyNumberFormat="1" applyBorder="1">
      <alignment vertical="center"/>
    </xf>
    <xf numFmtId="10" fontId="25" fillId="0" borderId="1" xfId="0" applyNumberFormat="1" applyFont="1" applyBorder="1">
      <alignment vertical="center"/>
    </xf>
    <xf numFmtId="0" fontId="11" fillId="26" borderId="1" xfId="0" applyFont="1" applyFill="1" applyBorder="1" applyAlignment="1">
      <alignment horizontal="right" vertical="center" wrapText="1"/>
    </xf>
    <xf numFmtId="0" fontId="11" fillId="0" borderId="1" xfId="0" applyFont="1" applyBorder="1" applyAlignment="1">
      <alignment horizontal="right" vertical="center" wrapText="1"/>
    </xf>
    <xf numFmtId="0" fontId="25" fillId="27" borderId="1" xfId="0" applyFont="1" applyFill="1" applyBorder="1" applyAlignment="1">
      <alignment horizontal="right" vertical="center"/>
    </xf>
    <xf numFmtId="0" fontId="25" fillId="27" borderId="1" xfId="0" applyFont="1" applyFill="1" applyBorder="1">
      <alignment vertical="center"/>
    </xf>
    <xf numFmtId="0" fontId="11" fillId="28" borderId="1" xfId="0" applyFont="1" applyFill="1" applyBorder="1" applyAlignment="1">
      <alignment horizontal="right" vertical="center" wrapText="1"/>
    </xf>
    <xf numFmtId="0" fontId="25" fillId="27" borderId="7" xfId="0" applyFont="1" applyFill="1" applyBorder="1">
      <alignment vertical="center"/>
    </xf>
    <xf numFmtId="10" fontId="12" fillId="0" borderId="6" xfId="0" applyNumberFormat="1" applyFont="1" applyBorder="1">
      <alignment vertical="center"/>
    </xf>
    <xf numFmtId="10" fontId="0" fillId="0" borderId="1" xfId="0" applyNumberFormat="1" applyFont="1" applyBorder="1">
      <alignment vertical="center"/>
    </xf>
    <xf numFmtId="10" fontId="0" fillId="29" borderId="0" xfId="1" applyNumberFormat="1" applyFont="1" applyFill="1" applyAlignment="1">
      <alignment vertical="center" wrapText="1"/>
    </xf>
    <xf numFmtId="0" fontId="0" fillId="29" borderId="0" xfId="0" applyFont="1" applyFill="1" applyAlignment="1">
      <alignment vertical="center" wrapText="1"/>
    </xf>
    <xf numFmtId="0" fontId="0" fillId="29" borderId="0" xfId="0" applyFont="1" applyFill="1" applyBorder="1" applyAlignment="1">
      <alignment vertical="center" wrapText="1"/>
    </xf>
    <xf numFmtId="10" fontId="0" fillId="30" borderId="0" xfId="1" applyNumberFormat="1" applyFont="1" applyFill="1" applyAlignment="1">
      <alignment vertical="center" wrapText="1"/>
    </xf>
    <xf numFmtId="0" fontId="0" fillId="30" borderId="0" xfId="0" applyFont="1" applyFill="1" applyAlignment="1">
      <alignment vertical="center" wrapText="1"/>
    </xf>
    <xf numFmtId="0" fontId="0" fillId="30" borderId="0" xfId="0" applyFont="1" applyFill="1" applyBorder="1" applyAlignment="1">
      <alignment vertical="center" wrapText="1"/>
    </xf>
    <xf numFmtId="188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18" fillId="25" borderId="1" xfId="0" applyFont="1" applyFill="1" applyBorder="1" applyAlignment="1">
      <alignment vertical="center" wrapText="1"/>
    </xf>
    <xf numFmtId="0" fontId="11" fillId="25" borderId="1" xfId="0" applyFont="1" applyFill="1" applyBorder="1" applyAlignment="1">
      <alignment vertical="center" wrapText="1"/>
    </xf>
    <xf numFmtId="10" fontId="17" fillId="25" borderId="1" xfId="0" applyNumberFormat="1" applyFont="1" applyFill="1" applyBorder="1" applyAlignment="1">
      <alignment vertical="center"/>
    </xf>
    <xf numFmtId="178" fontId="17" fillId="21" borderId="1" xfId="0" applyNumberFormat="1" applyFont="1" applyFill="1" applyBorder="1" applyAlignment="1">
      <alignment vertical="center"/>
    </xf>
    <xf numFmtId="0" fontId="17" fillId="25" borderId="1" xfId="0" applyFont="1" applyFill="1" applyBorder="1">
      <alignment vertical="center"/>
    </xf>
    <xf numFmtId="0" fontId="6" fillId="0" borderId="0" xfId="0" applyFont="1" applyAlignment="1">
      <alignment horizontal="center" vertical="center"/>
    </xf>
    <xf numFmtId="178" fontId="6" fillId="0" borderId="0" xfId="0" applyNumberFormat="1" applyFont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  <xf numFmtId="176" fontId="7" fillId="0" borderId="0" xfId="0" applyNumberFormat="1" applyFont="1" applyFill="1" applyBorder="1" applyAlignment="1">
      <alignment horizontal="center" vertical="center"/>
    </xf>
    <xf numFmtId="3" fontId="7" fillId="0" borderId="0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百分比" xfId="1" builtinId="5"/>
    <cellStyle name="常规" xfId="0" builtinId="0"/>
  </cellStyles>
  <dxfs count="8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em.rtq">
      <tp>
        <v>0</v>
        <stp/>
        <stp>930746.CSI</stp>
        <stp>IOPV</stp>
        <tr r="K52" s="24"/>
      </tp>
      <tp>
        <v>0</v>
        <stp/>
        <stp>HSSI</stp>
        <stp>DifferRange</stp>
        <tr r="E48" s="24"/>
      </tp>
      <tp>
        <v>0</v>
        <stp/>
        <stp>SENSEX.GI</stp>
        <stp>Now</stp>
        <tr r="Q22" s="24"/>
      </tp>
      <tp>
        <v>0</v>
        <stp/>
        <stp>SENSEX.GI</stp>
        <stp>Time</stp>
        <tr r="Q21" s="24"/>
      </tp>
      <tp>
        <v>0</v>
        <stp/>
        <stp>N225.GI</stp>
        <stp>Time</stp>
        <tr r="O21" s="24"/>
      </tp>
      <tp>
        <v>0</v>
        <stp/>
        <stp>VNET.O</stp>
        <stp>Time</stp>
        <tr r="U13" s="14"/>
        <tr r="C21" s="18"/>
      </tp>
      <tp>
        <v>0</v>
        <stp/>
        <stp>VIPS.N</stp>
        <stp>Time</stp>
        <tr r="C9" s="18"/>
        <tr r="I13" s="14"/>
        <tr r="C12" s="20"/>
      </tp>
      <tp>
        <v>0</v>
        <stp/>
        <stp>HSSI</stp>
        <stp>Now</stp>
        <tr r="D48" s="24"/>
      </tp>
      <tp>
        <v>0</v>
        <stp/>
        <stp>SENSEX.GI</stp>
        <stp>DifferRange</stp>
        <tr r="Q23" s="24"/>
      </tp>
      <tp>
        <v>0</v>
        <stp/>
        <stp>930746.CSI</stp>
        <stp>BuyVolume1</stp>
        <tr r="H52" s="24"/>
      </tp>
      <tp>
        <v>0</v>
        <stp/>
        <stp>950090.CSI</stp>
        <stp>BuyVolume1</stp>
        <tr r="H44" s="24"/>
      </tp>
      <tp>
        <v>0</v>
        <stp/>
        <stp>WUBA.N</stp>
        <stp>Time</stp>
        <tr r="N13" s="14"/>
        <tr r="C11" s="20"/>
        <tr r="C14" s="18"/>
      </tp>
      <tp>
        <v>0</v>
        <stp/>
        <stp>IQ.O</stp>
        <stp>DifferRange</stp>
        <tr r="E11" s="18"/>
        <tr r="K15" s="14"/>
        <tr r="E13" s="20"/>
      </tp>
      <tp>
        <v>0</v>
        <stp/>
        <stp>TCOM.O</stp>
        <stp>Time</stp>
        <tr r="J13" s="14"/>
        <tr r="C9" s="20"/>
        <tr r="C10" s="18"/>
      </tp>
      <tp>
        <v>0</v>
        <stp/>
        <stp>IQ.O</stp>
        <stp>Now</stp>
        <tr r="D13" s="20"/>
        <tr r="D11" s="18"/>
        <tr r="K14" s="14"/>
      </tp>
      <tp>
        <v>0</v>
        <stp/>
        <stp>SOGO.N</stp>
        <stp>Time</stp>
        <tr r="AE13" s="14"/>
        <tr r="C31" s="18"/>
      </tp>
      <tp>
        <v>0</v>
        <stp/>
        <stp>SINA.O</stp>
        <stp>Time</stp>
        <tr r="C20" s="20"/>
        <tr r="C19" s="18"/>
        <tr r="S13" s="14"/>
      </tp>
      <tp>
        <v>0</v>
        <stp/>
        <stp>HSSI</stp>
        <stp>OverflowRate</stp>
        <tr r="L48" s="24"/>
      </tp>
      <tp>
        <v>0</v>
        <stp/>
        <stp>QFIN.O</stp>
        <stp>Time</stp>
        <tr r="AD13" s="14"/>
        <tr r="C30" s="18"/>
      </tp>
      <tp>
        <v>0</v>
        <stp/>
        <stp>HSCEI.HI</stp>
        <stp>SellVolume1</stp>
        <tr r="J38" s="24"/>
      </tp>
      <tp>
        <v>0</v>
        <stp/>
        <stp>USDCNY.EX</stp>
        <stp>Now</stp>
        <tr r="M4" s="24"/>
        <tr r="C33" s="21"/>
      </tp>
      <tp>
        <v>0</v>
        <stp/>
        <stp>HKDCNY.EX</stp>
        <stp>Now</stp>
        <tr r="B33" s="21"/>
      </tp>
      <tp>
        <v>0</v>
        <stp/>
        <stp>USDCNY.IB</stp>
        <stp>Now</stp>
        <tr r="N4" s="24"/>
      </tp>
      <tp>
        <v>0</v>
        <stp/>
        <stp>LX.O</stp>
        <stp>Now</stp>
        <tr r="X14" s="14"/>
        <tr r="D24" s="18"/>
        <tr r="D22" s="20"/>
      </tp>
      <tp>
        <v>0</v>
        <stp/>
        <stp>HSMSI</stp>
        <stp>BuyPrice1</stp>
        <tr r="G50" s="24"/>
      </tp>
      <tp>
        <v>0</v>
        <stp/>
        <stp>YY.O</stp>
        <stp>DifferRange</stp>
        <tr r="O15" s="14"/>
        <tr r="E17" s="20"/>
        <tr r="E15" s="18"/>
      </tp>
      <tp>
        <v>0</v>
        <stp/>
        <stp>SY.O</stp>
        <stp>DifferRange</stp>
        <tr r="E28" s="18"/>
        <tr r="AB15" s="14"/>
      </tp>
      <tp>
        <v>0</v>
        <stp/>
        <stp>USDCNY.EX</stp>
        <stp>DifferRange</stp>
        <tr r="C34" s="21"/>
        <tr r="M5" s="24"/>
      </tp>
      <tp>
        <v>0</v>
        <stp/>
        <stp>HKDCNY.EX</stp>
        <stp>DifferRange</stp>
        <tr r="B34" s="21"/>
      </tp>
      <tp>
        <v>0</v>
        <stp/>
        <stp>USDCNY.IB</stp>
        <stp>DifferRange</stp>
        <tr r="N5" s="24"/>
      </tp>
      <tp>
        <v>0</v>
        <stp/>
        <stp>HSMSI</stp>
        <stp>SellVolume1</stp>
        <tr r="J50" s="24"/>
      </tp>
      <tp>
        <v>0</v>
        <stp/>
        <stp>SY.O</stp>
        <stp>Now</stp>
        <tr r="AB14" s="14"/>
        <tr r="D28" s="18"/>
      </tp>
      <tp>
        <v>0</v>
        <stp/>
        <stp>YY.O</stp>
        <stp>Now</stp>
        <tr r="O14" s="14"/>
        <tr r="D17" s="20"/>
        <tr r="D15" s="18"/>
      </tp>
      <tp>
        <v>0</v>
        <stp/>
        <stp>LX.O</stp>
        <stp>DifferRange</stp>
        <tr r="E24" s="18"/>
        <tr r="E22" s="20"/>
        <tr r="X15" s="14"/>
      </tp>
      <tp>
        <v>0</v>
        <stp/>
        <stp>950090.CSI</stp>
        <stp>IOPV</stp>
        <tr r="K44" s="24"/>
      </tp>
      <tp>
        <v>0</v>
        <stp/>
        <stp>WB.O</stp>
        <stp>Now</stp>
        <tr r="T14" s="14"/>
        <tr r="D20" s="18"/>
        <tr r="D18" s="20"/>
      </tp>
      <tp>
        <v>0</v>
        <stp/>
        <stp>FANH.O</stp>
        <stp>Time</stp>
        <tr r="AA13" s="14"/>
        <tr r="C25" s="20"/>
        <tr r="C27" s="18"/>
      </tp>
      <tp>
        <v>0</v>
        <stp/>
        <stp>WB.O</stp>
        <stp>DifferRange</stp>
        <tr r="T15" s="14"/>
        <tr r="E18" s="20"/>
        <tr r="E20" s="18"/>
      </tp>
      <tp>
        <v>0</v>
        <stp/>
        <stp>JPYCNY.EX</stp>
        <stp>Time</stp>
        <tr r="O9" s="24"/>
      </tp>
      <tp>
        <v>0</v>
        <stp/>
        <stp>HKDCNY.EX</stp>
        <stp>Time</stp>
        <tr r="B32" s="21"/>
      </tp>
      <tp>
        <v>0</v>
        <stp/>
        <stp>EURCNY.EX</stp>
        <stp>Time</stp>
        <tr r="M9" s="24"/>
      </tp>
      <tp>
        <v>0</v>
        <stp/>
        <stp>USDCNY.EX</stp>
        <stp>Time</stp>
        <tr r="M3" s="24"/>
        <tr r="C32" s="21"/>
      </tp>
      <tp>
        <v>0</v>
        <stp/>
        <stp>HSFML25.HI</stp>
        <stp>IOPV</stp>
        <tr r="K46" s="24"/>
      </tp>
      <tp>
        <v>0</v>
        <stp/>
        <stp>SPX.GI</stp>
        <stp>Now</stp>
        <tr r="R22" s="24"/>
      </tp>
      <tp>
        <v>0</v>
        <stp/>
        <stp>DOYU.O</stp>
        <stp>Time</stp>
        <tr r="C24" s="20"/>
        <tr r="V13" s="14"/>
        <tr r="C22" s="18"/>
      </tp>
      <tp>
        <v>0</v>
        <stp/>
        <stp>NDX.GI</stp>
        <stp>Now</stp>
        <tr r="P22" s="24"/>
      </tp>
      <tp>
        <v>0</v>
        <stp/>
        <stp>HSI.HI</stp>
        <stp>Now</stp>
        <tr r="M22" s="24"/>
        <tr r="D33" s="24"/>
      </tp>
      <tp>
        <v>0</v>
        <stp/>
        <stp>NDX.GI</stp>
        <stp>DifferRange</stp>
        <tr r="P23" s="24"/>
      </tp>
      <tp>
        <v>0</v>
        <stp/>
        <stp>HSI.HI</stp>
        <stp>DifferRange</stp>
        <tr r="M23" s="24"/>
        <tr r="E33" s="24"/>
      </tp>
      <tp>
        <v>0</v>
        <stp/>
        <stp>SPX.GI</stp>
        <stp>DifferRange</stp>
        <tr r="R23" s="24"/>
      </tp>
      <tp>
        <v>0</v>
        <stp/>
        <stp>HSSI</stp>
        <stp>Time</stp>
        <tr r="C48" s="24"/>
      </tp>
      <tp>
        <v>0</v>
        <stp/>
        <stp>BZUN.O</stp>
        <stp>Time</stp>
        <tr r="C23" s="18"/>
        <tr r="C23" s="20"/>
        <tr r="W13" s="14"/>
      </tp>
      <tp>
        <v>0</v>
        <stp/>
        <stp>HSI.HI</stp>
        <stp>Volume</stp>
        <tr r="F33" s="24"/>
      </tp>
      <tp>
        <v>0</v>
        <stp/>
        <stp>BILI.O</stp>
        <stp>Time</stp>
        <tr r="C5" s="18"/>
        <tr r="E13" s="14"/>
        <tr r="C10" s="20"/>
      </tp>
      <tp>
        <v>0</v>
        <stp/>
        <stp>BIDU.O</stp>
        <stp>Time</stp>
        <tr r="C8" s="18"/>
        <tr r="H13" s="14"/>
        <tr r="C6" s="20"/>
      </tp>
      <tp>
        <v>0</v>
        <stp/>
        <stp>BABA.N</stp>
        <stp>Time</stp>
        <tr r="C3" s="20"/>
        <tr r="C2" s="18"/>
        <tr r="B13" s="14"/>
      </tp>
      <tp>
        <v>0</v>
        <stp/>
        <stp>HSCEI.HI</stp>
        <stp>SellPrice1</stp>
        <tr r="I38" s="24"/>
      </tp>
      <tp>
        <v>0</v>
        <stp/>
        <stp>JPYCNY.EX</stp>
        <stp>DifferRange</stp>
        <tr r="O11" s="24"/>
      </tp>
      <tp>
        <v>0</v>
        <stp/>
        <stp>JPYCNY.IB</stp>
        <stp>DifferRange</stp>
        <tr r="P11" s="24"/>
      </tp>
      <tp>
        <v>0</v>
        <stp/>
        <stp>JD.O</stp>
        <stp>Now</stp>
        <tr r="D4" s="18"/>
        <tr r="D14" s="14"/>
        <tr r="D4" s="20"/>
      </tp>
      <tp>
        <v>0</v>
        <stp/>
        <stp>QD.N</stp>
        <stp>Now</stp>
        <tr r="AG14" s="14"/>
        <tr r="D33" s="18"/>
      </tp>
      <tp>
        <v>0</v>
        <stp/>
        <stp>JPYCNY.EX</stp>
        <stp>Now</stp>
        <tr r="O10" s="24"/>
      </tp>
      <tp>
        <v>0</v>
        <stp/>
        <stp>JPYCNY.IB</stp>
        <stp>Now</stp>
        <tr r="P10" s="24"/>
      </tp>
      <tp>
        <v>0</v>
        <stp/>
        <stp>161128.SZ</stp>
        <stp>SellPrice1</stp>
        <tr r="H27" s="23"/>
      </tp>
      <tp>
        <v>0</v>
        <stp/>
        <stp>ATHM.N</stp>
        <stp>Time</stp>
        <tr r="C15" s="20"/>
        <tr r="C16" s="18"/>
        <tr r="P13" s="14"/>
      </tp>
      <tp>
        <v>0</v>
        <stp/>
        <stp>JD.O</stp>
        <stp>DifferRange</stp>
        <tr r="E4" s="18"/>
        <tr r="D15" s="14"/>
        <tr r="E4" s="20"/>
      </tp>
      <tp>
        <v>0</v>
        <stp/>
        <stp>QD.N</stp>
        <stp>DifferRange</stp>
        <tr r="E33" s="18"/>
        <tr r="AG15" s="14"/>
      </tp>
      <tp>
        <v>0</v>
        <stp/>
        <stp>513900.SH</stp>
        <stp>SellPrice1</stp>
        <tr r="I37" s="24"/>
      </tp>
      <tp>
        <v>0</v>
        <stp/>
        <stp>513680.SH</stp>
        <stp>SellPrice1</stp>
        <tr r="I42" s="24"/>
      </tp>
      <tp>
        <v>0</v>
        <stp/>
        <stp>513600.SH</stp>
        <stp>SellPrice1</stp>
        <tr r="I35" s="24"/>
      </tp>
      <tp>
        <v>0</v>
        <stp/>
        <stp>513660.SH</stp>
        <stp>SellPrice1</stp>
        <tr r="I36" s="24"/>
      </tp>
      <tp>
        <v>0</v>
        <stp/>
        <stp>160717.OF</stp>
        <stp>SellPrice1</stp>
        <tr r="I68" s="24"/>
      </tp>
      <tp>
        <v>0</v>
        <stp/>
        <stp>510900.SH</stp>
        <stp>SellPrice1</stp>
        <tr r="I39" s="24"/>
      </tp>
      <tp>
        <v>0</v>
        <stp/>
        <stp>160717.SZ</stp>
        <stp>SellPrice1</stp>
        <tr r="H22" s="23"/>
        <tr r="I56" s="24"/>
      </tp>
      <tp>
        <v>0</v>
        <stp/>
        <stp>501021.OF</stp>
        <stp>SellPrice1</stp>
        <tr r="I60" s="24"/>
      </tp>
      <tp>
        <v>0</v>
        <stp/>
        <stp>501301.OF</stp>
        <stp>SellPrice1</stp>
        <tr r="I62" s="24"/>
      </tp>
      <tp>
        <v>0</v>
        <stp/>
        <stp>501021.SH</stp>
        <stp>SellPrice1</stp>
        <tr r="I59" s="24"/>
        <tr r="H25" s="23"/>
      </tp>
      <tp>
        <v>0</v>
        <stp/>
        <stp>161127.SZ</stp>
        <stp>SellPrice1</stp>
        <tr r="H29" s="23"/>
      </tp>
      <tp>
        <v>0</v>
        <stp/>
        <stp>501301.SH</stp>
        <stp>SellPrice1</stp>
        <tr r="I47" s="24"/>
      </tp>
      <tp>
        <v>0</v>
        <stp/>
        <stp>159954.SZ</stp>
        <stp>SellPrice1</stp>
        <tr r="I40" s="24"/>
      </tp>
      <tp>
        <v>0</v>
        <stp/>
        <stp>NTES.O</stp>
        <stp>Time</stp>
        <tr r="F13" s="14"/>
        <tr r="C6" s="18"/>
        <tr r="C7" s="20"/>
      </tp>
      <tp>
        <v>0</v>
        <stp/>
        <stp>501050.OF</stp>
        <stp>SellPrice1</stp>
        <tr r="I61" s="24"/>
      </tp>
      <tp>
        <v>0</v>
        <stp/>
        <stp>501050.SH</stp>
        <stp>SellPrice1</stp>
        <tr r="H16" s="23"/>
        <tr r="I45" s="24"/>
      </tp>
      <tp>
        <v>0</v>
        <stp/>
        <stp>161126.SZ</stp>
        <stp>SellPrice1</stp>
        <tr r="H31" s="23"/>
      </tp>
      <tp>
        <v>0</v>
        <stp/>
        <stp>OCFT.N</stp>
        <stp>Time</stp>
        <tr r="Y13" s="14"/>
        <tr r="C25" s="18"/>
      </tp>
      <tp>
        <v>0</v>
        <stp/>
        <stp>164705.OF</stp>
        <stp>SellPrice1</stp>
        <tr r="I70" s="24"/>
      </tp>
      <tp>
        <v>0</v>
        <stp/>
        <stp>164705.SZ</stp>
        <stp>SellPrice1</stp>
        <tr r="H24" s="23"/>
        <tr r="I58" s="24"/>
      </tp>
      <tp>
        <v>0</v>
        <stp/>
        <stp>162415.SZ</stp>
        <stp>SellPrice1</stp>
        <tr r="H30" s="23"/>
      </tp>
      <tp>
        <v>0</v>
        <stp/>
        <stp>160125.OF</stp>
        <stp>SellPrice1</stp>
        <tr r="I66" s="24"/>
      </tp>
      <tp>
        <v>0</v>
        <stp/>
        <stp>160125.SZ</stp>
        <stp>SellPrice1</stp>
        <tr r="H20" s="23"/>
        <tr r="I54" s="24"/>
      </tp>
      <tp>
        <v>0</v>
        <stp/>
        <stp>501023.OF</stp>
        <stp>SellPrice1</stp>
        <tr r="I65" s="24"/>
      </tp>
      <tp>
        <v>0</v>
        <stp/>
        <stp>161815.SZ</stp>
        <stp>SellPrice1</stp>
        <tr r="H34" s="23"/>
      </tp>
      <tp>
        <v>0</v>
        <stp/>
        <stp>501023.SH</stp>
        <stp>SellPrice1</stp>
        <tr r="H19" s="23"/>
        <tr r="I53" s="24"/>
      </tp>
      <tp>
        <v>0</v>
        <stp/>
        <stp>161125.SZ</stp>
        <stp>SellPrice1</stp>
        <tr r="H28" s="23"/>
      </tp>
      <tp>
        <v>0</v>
        <stp/>
        <stp>164824.SZ</stp>
        <stp>SellPrice1</stp>
        <tr r="H32" s="23"/>
      </tp>
      <tp>
        <v>0</v>
        <stp/>
        <stp>160924.OF</stp>
        <stp>SellPrice1</stp>
        <tr r="I67" s="24"/>
      </tp>
      <tp>
        <v>0</v>
        <stp/>
        <stp>160924.SZ</stp>
        <stp>SellPrice1</stp>
        <tr r="H21" s="23"/>
        <tr r="I55" s="24"/>
      </tp>
      <tp>
        <v>0</v>
        <stp/>
        <stp>161124.OF</stp>
        <stp>SellPrice1</stp>
        <tr r="I63" s="24"/>
      </tp>
      <tp>
        <v>0</v>
        <stp/>
        <stp>161124.SZ</stp>
        <stp>SellPrice1</stp>
        <tr r="H17" s="23"/>
        <tr r="I49" s="24"/>
      </tp>
      <tp>
        <v>0</v>
        <stp/>
        <stp>MOMO.O</stp>
        <stp>Time</stp>
        <tr r="C17" s="18"/>
        <tr r="C14" s="20"/>
        <tr r="Q13" s="14"/>
      </tp>
      <tp>
        <v>0</v>
        <stp/>
        <stp>EURCNY.EX</stp>
        <stp>Now</stp>
        <tr r="M10" s="24"/>
      </tp>
      <tp>
        <v>0</v>
        <stp/>
        <stp>EURCNY.IB</stp>
        <stp>Now</stp>
        <tr r="N10" s="24"/>
      </tp>
      <tp>
        <v>0</v>
        <stp/>
        <stp>HSI.HI</stp>
        <stp>BuyPrice1</stp>
        <tr r="G33" s="24"/>
      </tp>
      <tp>
        <v>0</v>
        <stp/>
        <stp>159960.SZ</stp>
        <stp>SellPrice1</stp>
        <tr r="I43" s="24"/>
      </tp>
      <tp>
        <v>0</v>
        <stp/>
        <stp>159920.SZ</stp>
        <stp>SellPrice1</stp>
        <tr r="I34" s="24"/>
      </tp>
      <tp>
        <v>0</v>
        <stp/>
        <stp>JOBS.O</stp>
        <stp>Time</stp>
        <tr r="C18" s="18"/>
        <tr r="R13" s="14"/>
        <tr r="C19" s="20"/>
      </tp>
      <tp>
        <v>0</v>
        <stp/>
        <stp>EURCNY.EX</stp>
        <stp>DifferRange</stp>
        <tr r="M11" s="24"/>
      </tp>
      <tp>
        <v>0</v>
        <stp/>
        <stp>EURCNY.IB</stp>
        <stp>DifferRange</stp>
        <tr r="N11" s="24"/>
      </tp>
      <tp>
        <v>0</v>
        <stp/>
        <stp>160922.OF</stp>
        <stp>SellPrice1</stp>
        <tr r="I64" s="24"/>
      </tp>
      <tp>
        <v>0</v>
        <stp/>
        <stp>160922.SZ</stp>
        <stp>SellPrice1</stp>
        <tr r="I51" s="24"/>
        <tr r="H18" s="23"/>
      </tp>
      <tp>
        <v>0</v>
        <stp/>
        <stp>USDCNY.IB</stp>
        <stp>Time</stp>
        <tr r="N3" s="24"/>
      </tp>
      <tp>
        <v>0</v>
        <stp/>
        <stp>EURCNY.IB</stp>
        <stp>Time</stp>
        <tr r="N9" s="24"/>
      </tp>
      <tp>
        <v>0</v>
        <stp/>
        <stp>JPYCNY.IB</stp>
        <stp>Time</stp>
        <tr r="P9" s="24"/>
      </tp>
      <tp>
        <v>0</v>
        <stp/>
        <stp>162411.SZ</stp>
        <stp>SellPrice1</stp>
        <tr r="H33" s="23"/>
      </tp>
      <tp>
        <v>0</v>
        <stp/>
        <stp>161831.OF</stp>
        <stp>SellPrice1</stp>
        <tr r="I69" s="24"/>
      </tp>
      <tp>
        <v>0</v>
        <stp/>
        <stp>161831.SZ</stp>
        <stp>SellPrice1</stp>
        <tr r="H23" s="23"/>
        <tr r="I57" s="24"/>
      </tp>
      <tp>
        <v>0</v>
        <stp/>
        <stp>HUYA.N</stp>
        <stp>Time</stp>
        <tr r="C26" s="18"/>
        <tr r="Z13" s="14"/>
      </tp>
      <tp>
        <v>0</v>
        <stp/>
        <stp>161130.SZ</stp>
        <stp>SellPrice1</stp>
        <tr r="H26" s="23"/>
      </tp>
      <tp>
        <v>0</v>
        <stp/>
        <stp>159963.SZ</stp>
        <stp>SellPrice1</stp>
        <tr r="I41" s="24"/>
      </tp>
      <tp>
        <v>0</v>
        <stp/>
        <stp>HSCEI.HI</stp>
        <stp>BuyVolume1</stp>
        <tr r="H38" s="24"/>
      </tp>
      <tp>
        <v>0</v>
        <stp/>
        <stp>HSSI</stp>
        <stp>BuyPrice1</stp>
        <tr r="G48" s="24"/>
      </tp>
      <tp>
        <v>0</v>
        <stp/>
        <stp>161128.SZ</stp>
        <stp>BuyVolume1</stp>
        <tr r="G27" s="23"/>
      </tp>
      <tp>
        <v>0</v>
        <stp/>
        <stp>TME.N</stp>
        <stp>DifferRange</stp>
        <tr r="E12" s="18"/>
        <tr r="E16" s="20"/>
        <tr r="L15" s="14"/>
      </tp>
      <tp>
        <v>0</v>
        <stp/>
        <stp>PDD.O</stp>
        <stp>Now</stp>
        <tr r="D5" s="20"/>
        <tr r="C14" s="14"/>
        <tr r="D3" s="18"/>
      </tp>
      <tp>
        <v>0</v>
        <stp/>
        <stp>CN00Y.SG</stp>
        <stp>Time</stp>
        <tr r="B10" s="7"/>
      </tp>
      <tp>
        <v>0</v>
        <stp/>
        <stp>PDD.O</stp>
        <stp>DifferRange</stp>
        <tr r="C15" s="14"/>
        <tr r="E5" s="20"/>
        <tr r="E3" s="18"/>
      </tp>
      <tp>
        <v>0</v>
        <stp/>
        <stp>TME.N</stp>
        <stp>Now</stp>
        <tr r="L14" s="14"/>
        <tr r="D16" s="20"/>
        <tr r="D12" s="18"/>
      </tp>
      <tp>
        <v>0</v>
        <stp/>
        <stp>930746.CSI</stp>
        <stp>Time</stp>
        <tr r="C52" s="24"/>
      </tp>
      <tp>
        <v>0</v>
        <stp/>
        <stp>HSFML25.HI</stp>
        <stp>OverflowRate</stp>
        <tr r="L46" s="24"/>
      </tp>
      <tp>
        <v>0</v>
        <stp/>
        <stp>CN20Q.SG</stp>
        <stp>Time</stp>
        <tr r="D10" s="7"/>
      </tp>
      <tp>
        <v>0</v>
        <stp/>
        <stp>CN20U.SG</stp>
        <stp>Time</stp>
        <tr r="E10" s="7"/>
      </tp>
      <tp>
        <v>0</v>
        <stp/>
        <stp>CN20Z.SG</stp>
        <stp>Time</stp>
        <tr r="F10" s="7"/>
      </tp>
      <tp>
        <v>0</v>
        <stp/>
        <stp>CN20N.SG</stp>
        <stp>Time</stp>
        <tr r="C10" s="7"/>
      </tp>
      <tp>
        <v>0</v>
        <stp/>
        <stp>CN21H.SG</stp>
        <stp>Time</stp>
        <tr r="G10" s="7"/>
      </tp>
      <tp>
        <v>0</v>
        <stp/>
        <stp>CN21M.SG</stp>
        <stp>Time</stp>
        <tr r="H10" s="7"/>
      </tp>
      <tp>
        <v>0</v>
        <stp/>
        <stp>HSSI</stp>
        <stp>SellVolume1</stp>
        <tr r="J48" s="24"/>
      </tp>
      <tp>
        <v>0</v>
        <stp/>
        <stp>159960.SZ</stp>
        <stp>BuyVolume1</stp>
        <tr r="H43" s="24"/>
      </tp>
      <tp>
        <v>0</v>
        <stp/>
        <stp>159920.SZ</stp>
        <stp>BuyVolume1</stp>
        <tr r="H34" s="24"/>
      </tp>
      <tp>
        <v>0</v>
        <stp/>
        <stp>160922.OF</stp>
        <stp>BuyVolume1</stp>
        <tr r="H64" s="24"/>
      </tp>
      <tp>
        <v>0</v>
        <stp/>
        <stp>160922.SZ</stp>
        <stp>BuyVolume1</stp>
        <tr r="G18" s="23"/>
        <tr r="H51" s="24"/>
      </tp>
      <tp>
        <v>0</v>
        <stp/>
        <stp>HSSI</stp>
        <stp>Volume</stp>
        <tr r="F48" s="24"/>
      </tp>
      <tp>
        <v>0</v>
        <stp/>
        <stp>161831.OF</stp>
        <stp>BuyVolume1</stp>
        <tr r="H69" s="24"/>
      </tp>
      <tp>
        <v>0</v>
        <stp/>
        <stp>161831.SZ</stp>
        <stp>BuyVolume1</stp>
        <tr r="H57" s="24"/>
        <tr r="G23" s="23"/>
      </tp>
      <tp>
        <v>0</v>
        <stp/>
        <stp>162411.SZ</stp>
        <stp>BuyVolume1</stp>
        <tr r="G33" s="23"/>
      </tp>
      <tp>
        <v>0</v>
        <stp/>
        <stp>950090.CSI</stp>
        <stp>Time</stp>
        <tr r="C44" s="24"/>
      </tp>
      <tp>
        <v>0</v>
        <stp/>
        <stp>159963.SZ</stp>
        <stp>BuyVolume1</stp>
        <tr r="H41" s="24"/>
      </tp>
      <tp>
        <v>0</v>
        <stp/>
        <stp>161130.SZ</stp>
        <stp>BuyVolume1</stp>
        <tr r="G26" s="23"/>
      </tp>
      <tp>
        <v>0</v>
        <stp/>
        <stp>TAL.N</stp>
        <stp>Now</stp>
        <tr r="D8" s="20"/>
        <tr r="G14" s="14"/>
        <tr r="D7" s="18"/>
      </tp>
      <tp>
        <v>0</v>
        <stp/>
        <stp>HSMSI</stp>
        <stp>DifferRange</stp>
        <tr r="E50" s="24"/>
      </tp>
      <tp>
        <v>0</v>
        <stp/>
        <stp>159954.SZ</stp>
        <stp>BuyVolume1</stp>
        <tr r="H40" s="24"/>
      </tp>
      <tp>
        <v>0</v>
        <stp/>
        <stp>160717.OF</stp>
        <stp>BuyVolume1</stp>
        <tr r="H68" s="24"/>
      </tp>
      <tp>
        <v>0</v>
        <stp/>
        <stp>160717.SZ</stp>
        <stp>BuyVolume1</stp>
        <tr r="G22" s="23"/>
        <tr r="H56" s="24"/>
      </tp>
      <tp>
        <v>0</v>
        <stp/>
        <stp>510900.SH</stp>
        <stp>BuyVolume1</stp>
        <tr r="H39" s="24"/>
      </tp>
      <tp>
        <v>0</v>
        <stp/>
        <stp>501301.OF</stp>
        <stp>BuyVolume1</stp>
        <tr r="H62" s="24"/>
      </tp>
      <tp>
        <v>0</v>
        <stp/>
        <stp>501021.OF</stp>
        <stp>BuyVolume1</stp>
        <tr r="H60" s="24"/>
      </tp>
      <tp>
        <v>0</v>
        <stp/>
        <stp>501301.SH</stp>
        <stp>BuyVolume1</stp>
        <tr r="H47" s="24"/>
      </tp>
      <tp>
        <v>0</v>
        <stp/>
        <stp>501021.SH</stp>
        <stp>BuyVolume1</stp>
        <tr r="G25" s="23"/>
        <tr r="H59" s="24"/>
      </tp>
      <tp>
        <v>0</v>
        <stp/>
        <stp>161127.SZ</stp>
        <stp>BuyVolume1</stp>
        <tr r="G29" s="23"/>
      </tp>
      <tp>
        <v>0</v>
        <stp/>
        <stp>513600.SH</stp>
        <stp>BuyVolume1</stp>
        <tr r="H35" s="24"/>
      </tp>
      <tp>
        <v>0</v>
        <stp/>
        <stp>513660.SH</stp>
        <stp>BuyVolume1</stp>
        <tr r="H36" s="24"/>
      </tp>
      <tp>
        <v>0</v>
        <stp/>
        <stp>513680.SH</stp>
        <stp>BuyVolume1</stp>
        <tr r="H42" s="24"/>
      </tp>
      <tp>
        <v>0</v>
        <stp/>
        <stp>513900.SH</stp>
        <stp>BuyVolume1</stp>
        <tr r="H37" s="24"/>
      </tp>
      <tp>
        <v>0</v>
        <stp/>
        <stp>TAL.N</stp>
        <stp>DifferRange</stp>
        <tr r="E8" s="20"/>
        <tr r="E7" s="18"/>
        <tr r="G15" s="14"/>
      </tp>
      <tp>
        <v>0</v>
        <stp/>
        <stp>HSMSI</stp>
        <stp>Now</stp>
        <tr r="D50" s="24"/>
      </tp>
      <tp>
        <v>0</v>
        <stp/>
        <stp>501050.OF</stp>
        <stp>BuyVolume1</stp>
        <tr r="H61" s="24"/>
      </tp>
      <tp>
        <v>0</v>
        <stp/>
        <stp>501050.SH</stp>
        <stp>BuyVolume1</stp>
        <tr r="G16" s="23"/>
        <tr r="H45" s="24"/>
      </tp>
      <tp>
        <v>0</v>
        <stp/>
        <stp>161126.SZ</stp>
        <stp>BuyVolume1</stp>
        <tr r="G31" s="23"/>
      </tp>
      <tp>
        <v>0</v>
        <stp/>
        <stp>DAO.N</stp>
        <stp>DifferRange</stp>
        <tr r="E29" s="18"/>
        <tr r="AC15" s="14"/>
      </tp>
      <tp>
        <v>0</v>
        <stp/>
        <stp>HSFML25.HI</stp>
        <stp>Volume</stp>
        <tr r="F46" s="24"/>
      </tp>
      <tp>
        <v>0</v>
        <stp/>
        <stp>HSCEI.HI</stp>
        <stp>DifferRange</stp>
        <tr r="S23" s="24"/>
        <tr r="E38" s="24"/>
      </tp>
      <tp>
        <v>0</v>
        <stp/>
        <stp>HSFML25.HI</stp>
        <stp>BuyPrice1</stp>
        <tr r="G46" s="24"/>
      </tp>
      <tp>
        <v>0</v>
        <stp/>
        <stp>160125.OF</stp>
        <stp>BuyVolume1</stp>
        <tr r="H66" s="24"/>
      </tp>
      <tp>
        <v>0</v>
        <stp/>
        <stp>160125.SZ</stp>
        <stp>BuyVolume1</stp>
        <tr r="H54" s="24"/>
        <tr r="G20" s="23"/>
      </tp>
      <tp>
        <v>0</v>
        <stp/>
        <stp>501023.OF</stp>
        <stp>BuyVolume1</stp>
        <tr r="H65" s="24"/>
      </tp>
      <tp>
        <v>0</v>
        <stp/>
        <stp>501023.SH</stp>
        <stp>BuyVolume1</stp>
        <tr r="H53" s="24"/>
        <tr r="G19" s="23"/>
      </tp>
      <tp>
        <v>0</v>
        <stp/>
        <stp>161125.SZ</stp>
        <stp>BuyVolume1</stp>
        <tr r="G28" s="23"/>
      </tp>
      <tp>
        <v>0</v>
        <stp/>
        <stp>161815.SZ</stp>
        <stp>BuyVolume1</stp>
        <tr r="G34" s="23"/>
      </tp>
      <tp>
        <v>0</v>
        <stp/>
        <stp>162415.SZ</stp>
        <stp>BuyVolume1</stp>
        <tr r="G30" s="23"/>
      </tp>
      <tp>
        <v>0</v>
        <stp/>
        <stp>164705.OF</stp>
        <stp>BuyVolume1</stp>
        <tr r="H70" s="24"/>
      </tp>
      <tp>
        <v>0</v>
        <stp/>
        <stp>164705.SZ</stp>
        <stp>BuyVolume1</stp>
        <tr r="G24" s="23"/>
        <tr r="H58" s="24"/>
      </tp>
      <tp>
        <v>0</v>
        <stp/>
        <stp>DAO.N</stp>
        <stp>Now</stp>
        <tr r="AC14" s="14"/>
        <tr r="D29" s="18"/>
      </tp>
      <tp>
        <v>0</v>
        <stp/>
        <stp>HSCEI.HI</stp>
        <stp>Now</stp>
        <tr r="D38" s="24"/>
        <tr r="S22" s="24"/>
      </tp>
      <tp>
        <v>0</v>
        <stp/>
        <stp>160924.OF</stp>
        <stp>BuyVolume1</stp>
        <tr r="H67" s="24"/>
      </tp>
      <tp>
        <v>0</v>
        <stp/>
        <stp>160924.SZ</stp>
        <stp>BuyVolume1</stp>
        <tr r="H55" s="24"/>
        <tr r="G21" s="23"/>
      </tp>
      <tp>
        <v>0</v>
        <stp/>
        <stp>161124.OF</stp>
        <stp>BuyVolume1</stp>
        <tr r="H63" s="24"/>
      </tp>
      <tp>
        <v>0</v>
        <stp/>
        <stp>161124.SZ</stp>
        <stp>BuyVolume1</stp>
        <tr r="H49" s="24"/>
        <tr r="G17" s="23"/>
      </tp>
      <tp>
        <v>0</v>
        <stp/>
        <stp>164824.SZ</stp>
        <stp>BuyVolume1</stp>
        <tr r="G32" s="23"/>
      </tp>
      <tp>
        <v>0</v>
        <stp/>
        <stp>CN20Q.SG</stp>
        <stp>Now</stp>
        <tr r="D11" s="7"/>
      </tp>
      <tp>
        <v>0</v>
        <stp/>
        <stp>CN20U.SG</stp>
        <stp>Now</stp>
        <tr r="E11" s="7"/>
      </tp>
      <tp>
        <v>0</v>
        <stp/>
        <stp>CN20Z.SG</stp>
        <stp>Now</stp>
        <tr r="F11" s="7"/>
      </tp>
      <tp>
        <v>0</v>
        <stp/>
        <stp>CN20N.SG</stp>
        <stp>Now</stp>
        <tr r="C11" s="7"/>
      </tp>
      <tp>
        <v>0</v>
        <stp/>
        <stp>CN21H.SG</stp>
        <stp>Now</stp>
        <tr r="G11" s="7"/>
      </tp>
      <tp>
        <v>0</v>
        <stp/>
        <stp>CN21M.SG</stp>
        <stp>Now</stp>
        <tr r="H11" s="7"/>
      </tp>
      <tp>
        <v>0</v>
        <stp/>
        <stp>CN00Y.SG</stp>
        <stp>Now</stp>
        <tr r="B11" s="7"/>
      </tp>
      <tp>
        <v>0</v>
        <stp/>
        <stp>HSSI</stp>
        <stp>IOPV</stp>
        <tr r="K48" s="24"/>
      </tp>
      <tp>
        <v>0</v>
        <stp/>
        <stp>CN00Y.SG</stp>
        <stp>DifferRange</stp>
        <tr r="B12" s="7"/>
      </tp>
      <tp>
        <v>0</v>
        <stp/>
        <stp>CN20Z.SG</stp>
        <stp>DifferRange</stp>
        <tr r="F12" s="7"/>
      </tp>
      <tp>
        <v>0</v>
        <stp/>
        <stp>CN20U.SG</stp>
        <stp>DifferRange</stp>
        <tr r="E12" s="7"/>
      </tp>
      <tp>
        <v>0</v>
        <stp/>
        <stp>CN20Q.SG</stp>
        <stp>DifferRange</stp>
        <tr r="D12" s="7"/>
      </tp>
      <tp>
        <v>0</v>
        <stp/>
        <stp>CN20N.SG</stp>
        <stp>DifferRange</stp>
        <tr r="C12" s="7"/>
      </tp>
      <tp>
        <v>0</v>
        <stp/>
        <stp>CN21M.SG</stp>
        <stp>DifferRange</stp>
        <tr r="H12" s="7"/>
      </tp>
      <tp>
        <v>0</v>
        <stp/>
        <stp>CN21H.SG</stp>
        <stp>DifferRange</stp>
        <tr r="G12" s="7"/>
      </tp>
      <tp>
        <v>0</v>
        <stp/>
        <stp>930746.CSI</stp>
        <stp>OverflowRate</stp>
        <tr r="L52" s="24"/>
      </tp>
      <tp>
        <v>0</v>
        <stp/>
        <stp>QTT.O</stp>
        <stp>Now</stp>
        <tr r="AF14" s="14"/>
        <tr r="D32" s="18"/>
      </tp>
      <tp>
        <v>0</v>
        <stp/>
        <stp>IF00C2.CFE</stp>
        <stp>Time</stp>
        <tr r="I3" s="7"/>
      </tp>
      <tp>
        <v>0</v>
        <stp/>
        <stp>IF00C3.CFE</stp>
        <stp>Time</stp>
        <tr r="J3" s="7"/>
      </tp>
      <tp>
        <v>0</v>
        <stp/>
        <stp>IC00C4.CFE</stp>
        <stp>Time</stp>
        <tr r="P3" s="7"/>
      </tp>
      <tp>
        <v>0</v>
        <stp/>
        <stp>IF00C1.CFE</stp>
        <stp>Time</stp>
        <tr r="H3" s="7"/>
      </tp>
      <tp>
        <v>0</v>
        <stp/>
        <stp>IC00C3.CFE</stp>
        <stp>Time</stp>
        <tr r="O3" s="7"/>
      </tp>
      <tp>
        <v>0</v>
        <stp/>
        <stp>IC00C2.CFE</stp>
        <stp>Time</stp>
        <tr r="N3" s="7"/>
      </tp>
      <tp>
        <v>0</v>
        <stp/>
        <stp>IC00C1.CFE</stp>
        <stp>Time</stp>
        <tr r="M3" s="7"/>
      </tp>
      <tp>
        <v>0</v>
        <stp/>
        <stp>IF00C4.CFE</stp>
        <stp>Time</stp>
        <tr r="K3" s="7"/>
      </tp>
      <tp>
        <v>0</v>
        <stp/>
        <stp>IH00C4.CFE</stp>
        <stp>Time</stp>
        <tr r="F3" s="7"/>
      </tp>
      <tp>
        <v>0</v>
        <stp/>
        <stp>IH00C1.CFE</stp>
        <stp>Time</stp>
        <tr r="C3" s="7"/>
      </tp>
      <tp>
        <v>0</v>
        <stp/>
        <stp>IH00C2.CFE</stp>
        <stp>Time</stp>
        <tr r="D3" s="7"/>
      </tp>
      <tp>
        <v>0</v>
        <stp/>
        <stp>IH00C3.CFE</stp>
        <stp>Time</stp>
        <tr r="E3" s="7"/>
      </tp>
      <tp>
        <v>0</v>
        <stp/>
        <stp>HSFML25.HI</stp>
        <stp>Time</stp>
        <tr r="C46" s="24"/>
      </tp>
      <tp>
        <v>0</v>
        <stp/>
        <stp>HSI.HI</stp>
        <stp>SellVolume1</stp>
        <tr r="J33" s="24"/>
      </tp>
      <tp>
        <v>0</v>
        <stp/>
        <stp>QTT.O</stp>
        <stp>DifferRange</stp>
        <tr r="AF15" s="14"/>
        <tr r="E32" s="18"/>
      </tp>
      <tp>
        <v>0</v>
        <stp/>
        <stp>950090.CSI</stp>
        <stp>SellPrice1</stp>
        <tr r="I44" s="24"/>
      </tp>
      <tp>
        <v>0</v>
        <stp/>
        <stp>930746.CSI</stp>
        <stp>SellPrice1</stp>
        <tr r="I52" s="24"/>
      </tp>
      <tp>
        <v>0</v>
        <stp/>
        <stp>QTT.O</stp>
        <stp>Time</stp>
        <tr r="AF13" s="14"/>
        <tr r="C32" s="18"/>
      </tp>
      <tp>
        <v>0</v>
        <stp/>
        <stp>09988.HK</stp>
        <stp>Time</stp>
        <tr r="C3" s="21"/>
        <tr r="K55" s="7"/>
        <tr r="C4" s="14"/>
        <tr r="T44" s="7"/>
      </tp>
      <tp>
        <v>0</v>
        <stp/>
        <stp>PDD.O</stp>
        <stp>Time</stp>
        <tr r="C3" s="18"/>
        <tr r="C5" s="20"/>
        <tr r="C13" s="14"/>
      </tp>
      <tp>
        <v>0</v>
        <stp/>
        <stp>09999.HK</stp>
        <stp>Time</stp>
        <tr r="V44" s="7"/>
        <tr r="M55" s="7"/>
        <tr r="C5" s="21"/>
      </tp>
      <tp>
        <v>0</v>
        <stp/>
        <stp>FCHI.GI</stp>
        <stp>DifferRange</stp>
        <tr r="K23" s="24"/>
      </tp>
      <tp>
        <v>0</v>
        <stp/>
        <stp>TME.N</stp>
        <stp>Time</stp>
        <tr r="L13" s="14"/>
        <tr r="C12" s="18"/>
        <tr r="C16" s="20"/>
      </tp>
      <tp>
        <v>0</v>
        <stp/>
        <stp>TAL.N</stp>
        <stp>Time</stp>
        <tr r="C8" s="20"/>
        <tr r="C7" s="18"/>
        <tr r="G13" s="14"/>
      </tp>
      <tp>
        <v>0</v>
        <stp/>
        <stp>GSX.N</stp>
        <stp>Time</stp>
        <tr r="C21" s="20"/>
        <tr r="C13" s="18"/>
        <tr r="M13" s="14"/>
      </tp>
      <tp>
        <v>0</v>
        <stp/>
        <stp>DAO.N</stp>
        <stp>Time</stp>
        <tr r="AC13" s="14"/>
        <tr r="C29" s="18"/>
      </tp>
      <tp>
        <v>0</v>
        <stp/>
        <stp>03888.HK</stp>
        <stp>Time</stp>
        <tr r="E56" s="7"/>
        <tr r="C38" s="18"/>
        <tr r="F45" s="7"/>
        <tr r="C29" s="20"/>
        <tr r="G4" s="14"/>
      </tp>
      <tp>
        <v>0</v>
        <stp/>
        <stp>01896.HK</stp>
        <stp>Time</stp>
        <tr r="C45" s="18"/>
        <tr r="M45" s="7"/>
        <tr r="N4" s="14"/>
      </tp>
      <tp>
        <v>0</v>
        <stp/>
        <stp>01833.HK</stp>
        <stp>Time</stp>
        <tr r="C37" s="18"/>
        <tr r="E45" s="7"/>
        <tr r="F4" s="14"/>
      </tp>
      <tp>
        <v>0</v>
        <stp/>
        <stp>FCHI.GI</stp>
        <stp>Now</stp>
        <tr r="K22" s="24"/>
      </tp>
      <tp>
        <v>0</v>
        <stp/>
        <stp>GSX.N</stp>
        <stp>Now</stp>
        <tr r="D21" s="20"/>
        <tr r="D13" s="18"/>
        <tr r="M14" s="14"/>
      </tp>
      <tp>
        <v>0</v>
        <stp/>
        <stp>GDAXI.GI</stp>
        <stp>Now</stp>
        <tr r="L22" s="24"/>
      </tp>
      <tp>
        <v>0</v>
        <stp/>
        <stp>00780.HK</stp>
        <stp>Time</stp>
        <tr r="C31" s="20"/>
        <tr r="G56" s="7"/>
        <tr r="I45" s="7"/>
        <tr r="J4" s="14"/>
        <tr r="C41" s="18"/>
      </tp>
      <tp>
        <v>0</v>
        <stp/>
        <stp>01797.HK</stp>
        <stp>Time</stp>
        <tr r="C44" s="18"/>
        <tr r="L45" s="7"/>
        <tr r="M4" s="14"/>
      </tp>
      <tp>
        <v>0</v>
        <stp/>
        <stp>00700.HK</stp>
        <stp>Time</stp>
        <tr r="C26" s="20"/>
        <tr r="B56" s="7"/>
        <tr r="B4" s="14"/>
        <tr r="B45" s="7"/>
        <tr r="C34" s="18"/>
      </tp>
      <tp>
        <v>0</v>
        <stp/>
        <stp>IXIC.GI</stp>
        <stp>Now</stp>
        <tr r="N22" s="24"/>
      </tp>
      <tp>
        <v>0</v>
        <stp/>
        <stp>00772.HK</stp>
        <stp>Time</stp>
        <tr r="H4" s="14"/>
        <tr r="C30" s="20"/>
        <tr r="F56" s="7"/>
        <tr r="G45" s="7"/>
        <tr r="C39" s="18"/>
      </tp>
      <tp>
        <v>0</v>
        <stp/>
        <stp>00777.HK</stp>
        <stp>Time</stp>
        <tr r="O4" s="14"/>
        <tr r="N45" s="7"/>
        <tr r="C46" s="18"/>
      </tp>
      <tp>
        <v>0</v>
        <stp/>
        <stp>GSX.N</stp>
        <stp>DifferRange</stp>
        <tr r="E21" s="20"/>
        <tr r="M15" s="14"/>
        <tr r="E13" s="18"/>
      </tp>
      <tp>
        <v>0</v>
        <stp/>
        <stp>950090.CSI</stp>
        <stp>OverflowRate</stp>
        <tr r="L44" s="24"/>
      </tp>
      <tp>
        <v>0</v>
        <stp/>
        <stp>GDAXI.GI</stp>
        <stp>DifferRange</stp>
        <tr r="L23" s="24"/>
      </tp>
      <tp>
        <v>0</v>
        <stp/>
        <stp>03690.HK</stp>
        <stp>Time</stp>
        <tr r="D4" s="14"/>
        <tr r="C56" s="7"/>
        <tr r="C27" s="20"/>
        <tr r="C45" s="7"/>
        <tr r="C35" s="18"/>
      </tp>
      <tp>
        <v>0</v>
        <stp/>
        <stp>09618.HK</stp>
        <stp>Time</stp>
        <tr r="C4" s="21"/>
        <tr r="L55" s="7"/>
        <tr r="U44" s="7"/>
      </tp>
      <tp>
        <v>0</v>
        <stp/>
        <stp>IXIC.GI</stp>
        <stp>DifferRange</stp>
        <tr r="N23" s="24"/>
      </tp>
      <tp>
        <v>0</v>
        <stp/>
        <stp>02400.HK</stp>
        <stp>Time</stp>
        <tr r="O45" s="7"/>
        <tr r="P4" s="14"/>
        <tr r="C47" s="18"/>
      </tp>
      <tp>
        <v>0</v>
        <stp/>
        <stp>HSMSI</stp>
        <stp>Volume</stp>
        <tr r="F50" s="24"/>
      </tp>
      <tp>
        <v>0</v>
        <stp/>
        <stp>01357.HK</stp>
        <stp>Time</stp>
        <tr r="C48" s="18"/>
        <tr r="P45" s="7"/>
        <tr r="Q4" s="14"/>
      </tp>
      <tp>
        <v>0</v>
        <stp/>
        <stp>00241.HK</stp>
        <stp>Time</stp>
        <tr r="C36" s="18"/>
        <tr r="D45" s="7"/>
        <tr r="E4" s="14"/>
      </tp>
      <tp>
        <v>0</v>
        <stp/>
        <stp>N225.GI</stp>
        <stp>DifferRange</stp>
        <tr r="O23" s="24"/>
      </tp>
      <tp>
        <v>0</v>
        <stp/>
        <stp>06100.HK</stp>
        <stp>Time</stp>
        <tr r="R4" s="14"/>
        <tr r="Q45" s="7"/>
        <tr r="C49" s="18"/>
      </tp>
      <tp>
        <v>0</v>
        <stp/>
        <stp>N225.GI</stp>
        <stp>Now</stp>
        <tr r="O22" s="24"/>
      </tp>
      <tp>
        <v>0</v>
        <stp/>
        <stp>02013.HK</stp>
        <stp>Time</stp>
        <tr r="H45" s="7"/>
        <tr r="C40" s="18"/>
        <tr r="I4" s="14"/>
      </tp>
      <tp>
        <v>0</v>
        <stp/>
        <stp>06060.HK</stp>
        <stp>Time</stp>
        <tr r="C42" s="18"/>
        <tr r="C32" s="20"/>
        <tr r="H56" s="7"/>
        <tr r="K4" s="14"/>
        <tr r="J45" s="7"/>
      </tp>
      <tp>
        <v>0</v>
        <stp/>
        <stp>01060.HK</stp>
        <stp>Time</stp>
        <tr r="C28" s="20"/>
        <tr r="K45" s="7"/>
        <tr r="L4" s="14"/>
        <tr r="D56" s="7"/>
        <tr r="C43" s="18"/>
      </tp>
      <tp>
        <v>0</v>
        <stp/>
        <stp>513660.SH</stp>
        <stp>BuyPrice1</stp>
        <tr r="G36" s="24"/>
      </tp>
      <tp>
        <v>0</v>
        <stp/>
        <stp>1602.75</stp>
        <stp>Now</stp>
        <tr r="K10" s="24"/>
      </tp>
      <tp>
        <v>0</v>
        <stp/>
        <stp>GDAXI.GI</stp>
        <stp>Time</stp>
        <tr r="L21" s="24"/>
      </tp>
      <tp>
        <v>0</v>
        <stp/>
        <stp>1602.75</stp>
        <stp>DifferRange</stp>
        <tr r="K11" s="24"/>
      </tp>
      <tp>
        <v>0</v>
        <stp/>
        <stp>IH00C1.CFE</stp>
        <stp>DifferRange</stp>
        <tr r="C5" s="7"/>
      </tp>
      <tp>
        <v>0</v>
        <stp/>
        <stp>IH00C2.CFE</stp>
        <stp>DifferRange</stp>
        <tr r="D5" s="7"/>
      </tp>
      <tp>
        <v>0</v>
        <stp/>
        <stp>IH00C3.CFE</stp>
        <stp>DifferRange</stp>
        <tr r="E5" s="7"/>
      </tp>
      <tp>
        <v>0</v>
        <stp/>
        <stp>IH00C4.CFE</stp>
        <stp>DifferRange</stp>
        <tr r="F5" s="7"/>
      </tp>
      <tp>
        <v>0</v>
        <stp/>
        <stp>IC00C3.CFE</stp>
        <stp>DifferRange</stp>
        <tr r="O5" s="7"/>
      </tp>
      <tp>
        <v>0</v>
        <stp/>
        <stp>IC00C2.CFE</stp>
        <stp>DifferRange</stp>
        <tr r="N5" s="7"/>
      </tp>
      <tp>
        <v>0</v>
        <stp/>
        <stp>IC00C1.CFE</stp>
        <stp>DifferRange</stp>
        <tr r="M5" s="7"/>
      </tp>
      <tp>
        <v>0</v>
        <stp/>
        <stp>IF00C4.CFE</stp>
        <stp>DifferRange</stp>
        <tr r="K5" s="7"/>
      </tp>
      <tp>
        <v>0</v>
        <stp/>
        <stp>IF00C2.CFE</stp>
        <stp>DifferRange</stp>
        <tr r="I5" s="7"/>
      </tp>
      <tp>
        <v>0</v>
        <stp/>
        <stp>IF00C3.CFE</stp>
        <stp>DifferRange</stp>
        <tr r="J5" s="7"/>
      </tp>
      <tp>
        <v>0</v>
        <stp/>
        <stp>IC00C4.CFE</stp>
        <stp>DifferRange</stp>
        <tr r="P5" s="7"/>
      </tp>
      <tp>
        <v>0</v>
        <stp/>
        <stp>IF00C1.CFE</stp>
        <stp>DifferRange</stp>
        <tr r="H5" s="7"/>
      </tp>
      <tp>
        <v>0</v>
        <stp/>
        <stp>950090.CSI</stp>
        <stp>DifferRange</stp>
        <tr r="E44" s="24"/>
      </tp>
      <tp>
        <v>0</v>
        <stp/>
        <stp>H11137.CSI</stp>
        <stp>Now</stp>
        <tr r="B19" s="21"/>
      </tp>
      <tp>
        <v>0</v>
        <stp/>
        <stp>H11136.CSI</stp>
        <stp>Now</stp>
        <tr r="D19" s="21"/>
      </tp>
      <tp>
        <v>0</v>
        <stp/>
        <stp>501050.SH</stp>
        <stp>BuyPrice1</stp>
        <tr r="G45" s="24"/>
        <tr r="F16" s="23"/>
      </tp>
      <tp>
        <v>0</v>
        <stp/>
        <stp>950090.CSI</stp>
        <stp>Now</stp>
        <tr r="D44" s="24"/>
      </tp>
      <tp>
        <v>0</v>
        <stp/>
        <stp>930746.CSI</stp>
        <stp>Volume</stp>
        <tr r="F52" s="24"/>
      </tp>
      <tp>
        <v>0</v>
        <stp/>
        <stp>IH00C4.CFE</stp>
        <stp>Now</stp>
        <tr r="F4" s="7"/>
      </tp>
      <tp>
        <v>0</v>
        <stp/>
        <stp>IH00C2.CFE</stp>
        <stp>Now</stp>
        <tr r="D4" s="7"/>
      </tp>
      <tp>
        <v>0</v>
        <stp/>
        <stp>IH00C3.CFE</stp>
        <stp>Now</stp>
        <tr r="E4" s="7"/>
      </tp>
      <tp>
        <v>0</v>
        <stp/>
        <stp>IH00C1.CFE</stp>
        <stp>Now</stp>
        <tr r="C4" s="7"/>
      </tp>
      <tp>
        <v>0</v>
        <stp/>
        <stp>IC00C4.CFE</stp>
        <stp>Now</stp>
        <tr r="P4" s="7"/>
      </tp>
      <tp>
        <v>0</v>
        <stp/>
        <stp>IF00C1.CFE</stp>
        <stp>Now</stp>
        <tr r="H4" s="7"/>
      </tp>
      <tp>
        <v>0</v>
        <stp/>
        <stp>IF00C2.CFE</stp>
        <stp>Now</stp>
        <tr r="I4" s="7"/>
      </tp>
      <tp>
        <v>0</v>
        <stp/>
        <stp>IF00C3.CFE</stp>
        <stp>Now</stp>
        <tr r="J4" s="7"/>
      </tp>
      <tp>
        <v>0</v>
        <stp/>
        <stp>IC00C1.CFE</stp>
        <stp>Now</stp>
        <tr r="M4" s="7"/>
      </tp>
      <tp>
        <v>0</v>
        <stp/>
        <stp>IF00C4.CFE</stp>
        <stp>Now</stp>
        <tr r="K4" s="7"/>
      </tp>
      <tp>
        <v>0</v>
        <stp/>
        <stp>IC00C3.CFE</stp>
        <stp>Now</stp>
        <tr r="O4" s="7"/>
      </tp>
      <tp>
        <v>0</v>
        <stp/>
        <stp>IC00C2.CFE</stp>
        <stp>Now</stp>
        <tr r="N4" s="7"/>
      </tp>
      <tp>
        <v>0</v>
        <stp/>
        <stp>950090.CSI</stp>
        <stp>Volume</stp>
        <tr r="F44" s="24"/>
      </tp>
      <tp>
        <v>0</v>
        <stp/>
        <stp>H11137.CSI</stp>
        <stp>DifferRange</stp>
        <tr r="B20" s="21"/>
      </tp>
      <tp>
        <v>0</v>
        <stp/>
        <stp>H11136.CSI</stp>
        <stp>DifferRange</stp>
        <tr r="D20" s="21"/>
      </tp>
      <tp>
        <v>0</v>
        <stp/>
        <stp>160922.OF</stp>
        <stp>IOPV</stp>
        <tr r="K64" s="24"/>
      </tp>
      <tp>
        <v>0</v>
        <stp/>
        <stp>160924.OF</stp>
        <stp>IOPV</stp>
        <tr r="K67" s="24"/>
      </tp>
      <tp>
        <v>0</v>
        <stp/>
        <stp>930746.CSI</stp>
        <stp>Now</stp>
        <tr r="D52" s="24"/>
      </tp>
      <tp>
        <v>0</v>
        <stp/>
        <stp>501021.SH</stp>
        <stp>BuyPrice1</stp>
        <tr r="G59" s="24"/>
        <tr r="F25" s="23"/>
      </tp>
      <tp>
        <v>0</v>
        <stp/>
        <stp>501023.SH</stp>
        <stp>BuyPrice1</stp>
        <tr r="G53" s="24"/>
        <tr r="F19" s="23"/>
      </tp>
      <tp>
        <v>0</v>
        <stp/>
        <stp>09988.HK</stp>
        <stp>DifferRange</stp>
        <tr r="T46" s="7"/>
        <tr r="E3" s="21"/>
        <tr r="C6" s="14"/>
        <tr r="K57" s="7"/>
      </tp>
      <tp>
        <v>0</v>
        <stp/>
        <stp>09999.HK</stp>
        <stp>DifferRange</stp>
        <tr r="V46" s="7"/>
        <tr r="M57" s="7"/>
        <tr r="E5" s="21"/>
      </tp>
      <tp>
        <v>0</v>
        <stp/>
        <stp>09618.HK</stp>
        <stp>DifferRange</stp>
        <tr r="U46" s="7"/>
        <tr r="L57" s="7"/>
        <tr r="E4" s="21"/>
      </tp>
      <tp>
        <v>0</v>
        <stp/>
        <stp>161831.OF</stp>
        <stp>IOPV</stp>
        <tr r="K69" s="24"/>
      </tp>
      <tp>
        <v>0</v>
        <stp/>
        <stp>09988.HK</stp>
        <stp>Now</stp>
        <tr r="C5" s="14"/>
        <tr r="T45" s="7"/>
        <tr r="D3" s="21"/>
        <tr r="K56" s="7"/>
      </tp>
      <tp>
        <v>0</v>
        <stp/>
        <stp>09999.HK</stp>
        <stp>Now</stp>
        <tr r="M56" s="7"/>
        <tr r="D5" s="21"/>
        <tr r="V45" s="7"/>
      </tp>
      <tp>
        <v>0</v>
        <stp/>
        <stp>930746.CSI</stp>
        <stp>DifferRange</stp>
        <tr r="E52" s="24"/>
      </tp>
      <tp>
        <v>0</v>
        <stp/>
        <stp>09618.HK</stp>
        <stp>Now</stp>
        <tr r="U45" s="7"/>
        <tr r="D4" s="21"/>
        <tr r="L56" s="7"/>
      </tp>
      <tp>
        <v>0</v>
        <stp/>
        <stp>501301.SH</stp>
        <stp>BuyPrice1</stp>
        <tr r="G47" s="24"/>
      </tp>
      <tp>
        <v>0</v>
        <stp/>
        <stp>510900.SH</stp>
        <stp>BuyPrice1</stp>
        <tr r="G39" s="24"/>
      </tp>
      <tp>
        <v>0</v>
        <stp/>
        <stp>513600.SH</stp>
        <stp>BuyPrice1</stp>
        <tr r="G35" s="24"/>
      </tp>
      <tp>
        <v>0</v>
        <stp/>
        <stp>513900.SH</stp>
        <stp>BuyPrice1</stp>
        <tr r="G37" s="24"/>
      </tp>
      <tp>
        <v>0</v>
        <stp/>
        <stp>H30533.CSI</stp>
        <stp>Now</stp>
        <tr r="C19" s="21"/>
      </tp>
      <tp>
        <v>0</v>
        <stp/>
        <stp>H30533.CSI</stp>
        <stp>DifferRange</stp>
        <tr r="C20" s="21"/>
      </tp>
      <tp>
        <v>0</v>
        <stp/>
        <stp>501301.OF</stp>
        <stp>BuyPrice1</stp>
        <tr r="G62" s="24"/>
      </tp>
      <tp>
        <v>0</v>
        <stp/>
        <stp>HSMSI</stp>
        <stp>SellPrice1</stp>
        <tr r="I50" s="24"/>
      </tp>
      <tp>
        <v>0</v>
        <stp/>
        <stp>164705.OF</stp>
        <stp>IOPV</stp>
        <tr r="K70" s="24"/>
      </tp>
      <tp>
        <v>0</v>
        <stp/>
        <stp>160717.OF</stp>
        <stp>IOPV</stp>
        <tr r="K68" s="24"/>
      </tp>
      <tp>
        <v>0</v>
        <stp/>
        <stp>930746.CSI</stp>
        <stp>BuyPrice1</stp>
        <tr r="G52" s="24"/>
      </tp>
      <tp>
        <v>0</v>
        <stp/>
        <stp>950090.CSI</stp>
        <stp>BuyPrice1</stp>
        <tr r="G44" s="24"/>
      </tp>
      <tp>
        <v>0</v>
        <stp/>
        <stp>501021.OF</stp>
        <stp>BuyPrice1</stp>
        <tr r="G60" s="24"/>
      </tp>
      <tp>
        <v>0</v>
        <stp/>
        <stp>501023.OF</stp>
        <stp>BuyPrice1</stp>
        <tr r="G65" s="24"/>
      </tp>
      <tp>
        <v>0</v>
        <stp/>
        <stp>06100.HK</stp>
        <stp>Now</stp>
        <tr r="Q46" s="7"/>
        <tr r="R5" s="14"/>
        <tr r="D49" s="18"/>
      </tp>
      <tp>
        <v>0</v>
        <stp/>
        <stp>06060.HK</stp>
        <stp>Now</stp>
        <tr r="H57" s="7"/>
        <tr r="D32" s="20"/>
        <tr r="K5" s="14"/>
        <tr r="D42" s="18"/>
        <tr r="J46" s="7"/>
      </tp>
      <tp>
        <v>0</v>
        <stp/>
        <stp>06060.HK</stp>
        <stp>DifferRange</stp>
        <tr r="E42" s="18"/>
        <tr r="E32" s="20"/>
        <tr r="H58" s="7"/>
        <tr r="J47" s="7"/>
        <tr r="K6" s="14"/>
      </tp>
      <tp>
        <v>0</v>
        <stp/>
        <stp>06100.HK</stp>
        <stp>DifferRange</stp>
        <tr r="R6" s="14"/>
        <tr r="E49" s="18"/>
        <tr r="Q47" s="7"/>
      </tp>
      <tp>
        <v>0</v>
        <stp/>
        <stp>HSMSI</stp>
        <stp>Time</stp>
        <tr r="C50" s="24"/>
      </tp>
      <tp>
        <v>0</v>
        <stp/>
        <stp>161124.OF</stp>
        <stp>IOPV</stp>
        <tr r="K63" s="24"/>
      </tp>
      <tp>
        <v>0</v>
        <stp/>
        <stp>160125.OF</stp>
        <stp>IOPV</stp>
        <tr r="K66" s="24"/>
      </tp>
      <tp>
        <v>0</v>
        <stp/>
        <stp>HSCEI.HI</stp>
        <stp>Time</stp>
        <tr r="S21" s="24"/>
        <tr r="C38" s="24"/>
      </tp>
      <tp>
        <v>0</v>
        <stp/>
        <stp>01833.HK</stp>
        <stp>DifferRange</stp>
        <tr r="E37" s="18"/>
        <tr r="E47" s="7"/>
        <tr r="F6" s="14"/>
      </tp>
      <tp>
        <v>0</v>
        <stp/>
        <stp>01896.HK</stp>
        <stp>DifferRange</stp>
        <tr r="N6" s="14"/>
        <tr r="M47" s="7"/>
        <tr r="E45" s="18"/>
      </tp>
      <tp>
        <v>0</v>
        <stp/>
        <stp>164705.OF</stp>
        <stp>BuyPrice1</stp>
        <tr r="G70" s="24"/>
      </tp>
      <tp>
        <v>0</v>
        <stp/>
        <stp>01357.HK</stp>
        <stp>DifferRange</stp>
        <tr r="P47" s="7"/>
        <tr r="Q6" s="14"/>
        <tr r="E48" s="18"/>
      </tp>
      <tp>
        <v>0</v>
        <stp/>
        <stp>01060.HK</stp>
        <stp>DifferRange</stp>
        <tr r="D58" s="7"/>
        <tr r="E43" s="18"/>
        <tr r="K47" s="7"/>
        <tr r="L6" s="14"/>
        <tr r="E28" s="20"/>
      </tp>
      <tp>
        <v>0</v>
        <stp/>
        <stp>01797.HK</stp>
        <stp>DifferRange</stp>
        <tr r="E44" s="18"/>
        <tr r="M6" s="14"/>
        <tr r="L47" s="7"/>
      </tp>
      <tp>
        <v>0</v>
        <stp/>
        <stp>00241.HK</stp>
        <stp>Now</stp>
        <tr r="D46" s="7"/>
        <tr r="D36" s="18"/>
        <tr r="E5" s="14"/>
      </tp>
      <tp>
        <v>0</v>
        <stp/>
        <stp>00700.HK</stp>
        <stp>Now</stp>
        <tr r="B57" s="7"/>
        <tr r="D34" s="18"/>
        <tr r="B5" s="14"/>
        <tr r="D26" s="20"/>
        <tr r="B46" s="7"/>
      </tp>
      <tp>
        <v>0</v>
        <stp/>
        <stp>00772.HK</stp>
        <stp>Now</stp>
        <tr r="H5" s="14"/>
        <tr r="D39" s="18"/>
        <tr r="F57" s="7"/>
        <tr r="G46" s="7"/>
        <tr r="D30" s="20"/>
      </tp>
      <tp>
        <v>0</v>
        <stp/>
        <stp>00777.HK</stp>
        <stp>Now</stp>
        <tr r="O5" s="14"/>
        <tr r="D46" s="18"/>
        <tr r="N46" s="7"/>
      </tp>
      <tp>
        <v>0</v>
        <stp/>
        <stp>00780.HK</stp>
        <stp>Now</stp>
        <tr r="D31" s="20"/>
        <tr r="J5" s="14"/>
        <tr r="D41" s="18"/>
        <tr r="G57" s="7"/>
        <tr r="I46" s="7"/>
      </tp>
      <tp>
        <v>0</v>
        <stp/>
        <stp>501023.OF</stp>
        <stp>IOPV</stp>
        <tr r="K65" s="24"/>
      </tp>
      <tp>
        <v>0</v>
        <stp/>
        <stp>501021.OF</stp>
        <stp>IOPV</stp>
        <tr r="K60" s="24"/>
      </tp>
      <tp>
        <v>0</v>
        <stp/>
        <stp>501050.OF</stp>
        <stp>IOPV</stp>
        <tr r="K61" s="24"/>
      </tp>
      <tp>
        <v>0</v>
        <stp/>
        <stp>501050.OF</stp>
        <stp>BuyPrice1</stp>
        <tr r="G61" s="24"/>
      </tp>
      <tp>
        <v>0</v>
        <stp/>
        <stp>160717.OF</stp>
        <stp>BuyPrice1</stp>
        <tr r="G68" s="24"/>
      </tp>
      <tp>
        <v>0</v>
        <stp/>
        <stp>00241.HK</stp>
        <stp>DifferRange</stp>
        <tr r="E6" s="14"/>
        <tr r="E36" s="18"/>
        <tr r="D47" s="7"/>
      </tp>
      <tp>
        <v>0</v>
        <stp/>
        <stp>00777.HK</stp>
        <stp>DifferRange</stp>
        <tr r="E46" s="18"/>
        <tr r="N47" s="7"/>
        <tr r="O6" s="14"/>
      </tp>
      <tp>
        <v>0</v>
        <stp/>
        <stp>00772.HK</stp>
        <stp>DifferRange</stp>
        <tr r="F58" s="7"/>
        <tr r="G47" s="7"/>
        <tr r="E39" s="18"/>
        <tr r="H6" s="14"/>
        <tr r="E30" s="20"/>
      </tp>
      <tp>
        <v>0</v>
        <stp/>
        <stp>00700.HK</stp>
        <stp>DifferRange</stp>
        <tr r="E26" s="20"/>
        <tr r="B6" s="14"/>
        <tr r="B58" s="7"/>
        <tr r="E34" s="18"/>
        <tr r="B47" s="7"/>
      </tp>
      <tp>
        <v>0</v>
        <stp/>
        <stp>00780.HK</stp>
        <stp>DifferRange</stp>
        <tr r="E31" s="20"/>
        <tr r="J6" s="14"/>
        <tr r="I47" s="7"/>
        <tr r="E41" s="18"/>
        <tr r="G58" s="7"/>
      </tp>
      <tp>
        <v>0</v>
        <stp/>
        <stp>01833.HK</stp>
        <stp>Now</stp>
        <tr r="F5" s="14"/>
        <tr r="D37" s="18"/>
        <tr r="E46" s="7"/>
      </tp>
      <tp>
        <v>0</v>
        <stp/>
        <stp>01896.HK</stp>
        <stp>Now</stp>
        <tr r="D45" s="18"/>
        <tr r="M46" s="7"/>
        <tr r="N5" s="14"/>
      </tp>
      <tp>
        <v>0</v>
        <stp/>
        <stp>01060.HK</stp>
        <stp>Now</stp>
        <tr r="D43" s="18"/>
        <tr r="L5" s="14"/>
        <tr r="K46" s="7"/>
        <tr r="D28" s="20"/>
        <tr r="D57" s="7"/>
      </tp>
      <tp>
        <v>0</v>
        <stp/>
        <stp>01357.HK</stp>
        <stp>Now</stp>
        <tr r="P46" s="7"/>
        <tr r="D48" s="18"/>
        <tr r="Q5" s="14"/>
      </tp>
      <tp>
        <v>0</v>
        <stp/>
        <stp>01797.HK</stp>
        <stp>Now</stp>
        <tr r="M5" s="14"/>
        <tr r="L46" s="7"/>
        <tr r="D44" s="18"/>
      </tp>
      <tp>
        <v>0</v>
        <stp/>
        <stp>501301.OF</stp>
        <stp>IOPV</stp>
        <tr r="K62" s="24"/>
      </tp>
      <tp>
        <v>0</v>
        <stp/>
        <stp>513680.SH</stp>
        <stp>BuyPrice1</stp>
        <tr r="G42" s="24"/>
      </tp>
      <tp>
        <v>0</v>
        <stp/>
        <stp>161124.OF</stp>
        <stp>BuyPrice1</stp>
        <tr r="G63" s="24"/>
      </tp>
      <tp>
        <v>0</v>
        <stp/>
        <stp>160924.OF</stp>
        <stp>BuyPrice1</stp>
        <tr r="G67" s="24"/>
      </tp>
      <tp>
        <v>0</v>
        <stp/>
        <stp>03888.HK</stp>
        <stp>DifferRange</stp>
        <tr r="F47" s="7"/>
        <tr r="E38" s="18"/>
        <tr r="E29" s="20"/>
        <tr r="E58" s="7"/>
        <tr r="G6" s="14"/>
      </tp>
      <tp>
        <v>0</v>
        <stp/>
        <stp>160125.OF</stp>
        <stp>BuyPrice1</stp>
        <tr r="G66" s="24"/>
      </tp>
      <tp>
        <v>0</v>
        <stp/>
        <stp>160922.OF</stp>
        <stp>BuyPrice1</stp>
        <tr r="G64" s="24"/>
      </tp>
      <tp>
        <v>0</v>
        <stp/>
        <stp>03690.HK</stp>
        <stp>DifferRange</stp>
        <tr r="E35" s="18"/>
        <tr r="D6" s="14"/>
        <tr r="C47" s="7"/>
        <tr r="E27" s="20"/>
        <tr r="C58" s="7"/>
      </tp>
      <tp>
        <v>0</v>
        <stp/>
        <stp>02013.HK</stp>
        <stp>Now</stp>
        <tr r="I5" s="14"/>
        <tr r="D40" s="18"/>
        <tr r="H46" s="7"/>
      </tp>
      <tp>
        <v>0</v>
        <stp/>
        <stp>02400.HK</stp>
        <stp>Now</stp>
        <tr r="P5" s="14"/>
        <tr r="O46" s="7"/>
        <tr r="D47" s="18"/>
      </tp>
      <tp>
        <v>0</v>
        <stp/>
        <stp>161831.OF</stp>
        <stp>BuyPrice1</stp>
        <tr r="G69" s="24"/>
      </tp>
      <tp>
        <v>0</v>
        <stp/>
        <stp>02013.HK</stp>
        <stp>DifferRange</stp>
        <tr r="I6" s="14"/>
        <tr r="E40" s="18"/>
        <tr r="H47" s="7"/>
      </tp>
      <tp>
        <v>0</v>
        <stp/>
        <stp>02400.HK</stp>
        <stp>DifferRange</stp>
        <tr r="E47" s="18"/>
        <tr r="P6" s="14"/>
        <tr r="O47" s="7"/>
      </tp>
      <tp>
        <v>0</v>
        <stp/>
        <stp>03888.HK</stp>
        <stp>Now</stp>
        <tr r="D38" s="18"/>
        <tr r="D29" s="20"/>
        <tr r="G5" s="14"/>
        <tr r="F46" s="7"/>
        <tr r="E57" s="7"/>
      </tp>
      <tp>
        <v>0</v>
        <stp/>
        <stp>03690.HK</stp>
        <stp>Now</stp>
        <tr r="D5" s="14"/>
        <tr r="C57" s="7"/>
        <tr r="C46" s="7"/>
        <tr r="D27" s="20"/>
        <tr r="D35" s="18"/>
      </tp>
      <tp>
        <v>0</v>
        <stp/>
        <stp>513100.SH</stp>
        <stp>IOPV</stp>
        <tr r="G4" s="24"/>
      </tp>
      <tp>
        <v>0</v>
        <stp/>
        <stp>161124.SZ</stp>
        <stp>IOPV</stp>
        <tr r="K49" s="24"/>
      </tp>
      <tp>
        <v>0</v>
        <stp/>
        <stp>160125.SZ</stp>
        <stp>IOPV</stp>
        <tr r="K54" s="24"/>
      </tp>
      <tp>
        <v>0</v>
        <stp/>
        <stp>164705.SZ</stp>
        <stp>BuyPrice1</stp>
        <tr r="G58" s="24"/>
        <tr r="F24" s="23"/>
      </tp>
      <tp>
        <v>0</v>
        <stp/>
        <stp>H30533.CSI</stp>
        <stp>Time</stp>
        <tr r="C18" s="21"/>
      </tp>
      <tp>
        <v>0</v>
        <stp/>
        <stp>H11137.CSI</stp>
        <stp>Time</stp>
        <tr r="B18" s="21"/>
      </tp>
      <tp>
        <v>0</v>
        <stp/>
        <stp>H11136.CSI</stp>
        <stp>Time</stp>
        <tr r="D18" s="21"/>
      </tp>
      <tp>
        <v>0</v>
        <stp/>
        <stp>513080.SH</stp>
        <stp>IOPV</stp>
        <tr r="G24" s="24"/>
      </tp>
      <tp>
        <v>0</v>
        <stp/>
        <stp>513090.SH</stp>
        <stp>IOPV</stp>
        <tr r="G16" s="24"/>
      </tp>
      <tp>
        <v>0</v>
        <stp/>
        <stp>501050.SH</stp>
        <stp>IOPV</stp>
        <tr r="K45" s="24"/>
      </tp>
      <tp>
        <v>0</v>
        <stp/>
        <stp>513000.SH</stp>
        <stp>IOPV</stp>
        <tr r="G25" s="24"/>
      </tp>
      <tp>
        <v>0</v>
        <stp/>
        <stp>501023.SH</stp>
        <stp>IOPV</stp>
        <tr r="K53" s="24"/>
      </tp>
      <tp>
        <v>0</v>
        <stp/>
        <stp>501021.SH</stp>
        <stp>IOPV</stp>
        <tr r="K59" s="24"/>
      </tp>
      <tp>
        <v>0</v>
        <stp/>
        <stp>513030.SH</stp>
        <stp>IOPV</stp>
        <tr r="G23" s="24"/>
      </tp>
      <tp>
        <v>0</v>
        <stp/>
        <stp>160717.SZ</stp>
        <stp>BuyPrice1</stp>
        <tr r="F22" s="23"/>
        <tr r="G56" s="24"/>
      </tp>
      <tp>
        <v>0</v>
        <stp/>
        <stp>161815.SZ</stp>
        <stp>BuyPrice1</stp>
        <tr r="F34" s="23"/>
      </tp>
      <tp>
        <v>0</v>
        <stp/>
        <stp>162415.SZ</stp>
        <stp>BuyPrice1</stp>
        <tr r="F30" s="23"/>
      </tp>
      <tp>
        <v>0</v>
        <stp/>
        <stp>162411.SZ</stp>
        <stp>BuyPrice1</stp>
        <tr r="F33" s="23"/>
      </tp>
      <tp>
        <v>0</v>
        <stp/>
        <stp>159920.SZ</stp>
        <stp>SellVolume1</stp>
        <tr r="J34" s="24"/>
      </tp>
      <tp>
        <v>0</v>
        <stp/>
        <stp>159963.SZ</stp>
        <stp>SellVolume1</stp>
        <tr r="J41" s="24"/>
      </tp>
      <tp>
        <v>0</v>
        <stp/>
        <stp>159960.SZ</stp>
        <stp>SellVolume1</stp>
        <tr r="J43" s="24"/>
      </tp>
      <tp>
        <v>0</v>
        <stp/>
        <stp>159954.SZ</stp>
        <stp>SellVolume1</stp>
        <tr r="J40" s="24"/>
      </tp>
      <tp>
        <v>0</v>
        <stp/>
        <stp>501301.SH</stp>
        <stp>IOPV</stp>
        <tr r="K47" s="24"/>
      </tp>
      <tp>
        <v>0</v>
        <stp/>
        <stp>161126.SZ</stp>
        <stp>BuyPrice1</stp>
        <tr r="F31" s="23"/>
      </tp>
      <tp>
        <v>0</v>
        <stp/>
        <stp>161127.SZ</stp>
        <stp>BuyPrice1</stp>
        <tr r="F29" s="23"/>
      </tp>
      <tp>
        <v>0</v>
        <stp/>
        <stp>HSFML25.HI</stp>
        <stp>DifferRange</stp>
        <tr r="E46" s="24"/>
      </tp>
      <tp>
        <v>0</v>
        <stp/>
        <stp>161124.SZ</stp>
        <stp>BuyPrice1</stp>
        <tr r="F17" s="23"/>
        <tr r="G49" s="24"/>
      </tp>
      <tp>
        <v>0</v>
        <stp/>
        <stp>160924.SZ</stp>
        <stp>BuyPrice1</stp>
        <tr r="F21" s="23"/>
        <tr r="G55" s="24"/>
      </tp>
      <tp>
        <v>0</v>
        <stp/>
        <stp>164824.SZ</stp>
        <stp>BuyPrice1</stp>
        <tr r="F32" s="23"/>
      </tp>
      <tp>
        <v>0</v>
        <stp/>
        <stp>161125.SZ</stp>
        <stp>BuyPrice1</stp>
        <tr r="F28" s="23"/>
      </tp>
      <tp>
        <v>0</v>
        <stp/>
        <stp>160125.SZ</stp>
        <stp>BuyPrice1</stp>
        <tr r="F20" s="23"/>
        <tr r="G54" s="24"/>
      </tp>
      <tp>
        <v>0</v>
        <stp/>
        <stp>160922.SZ</stp>
        <stp>BuyPrice1</stp>
        <tr r="G51" s="24"/>
        <tr r="F18" s="23"/>
      </tp>
      <tp>
        <v>0</v>
        <stp/>
        <stp>159920.SZ</stp>
        <stp>BuyPrice1</stp>
        <tr r="G34" s="24"/>
      </tp>
      <tp>
        <v>0</v>
        <stp/>
        <stp>161128.SZ</stp>
        <stp>BuyPrice1</stp>
        <tr r="F27" s="23"/>
      </tp>
      <tp>
        <v>0</v>
        <stp/>
        <stp>161130.SZ</stp>
        <stp>BuyPrice1</stp>
        <tr r="F26" s="23"/>
      </tp>
      <tp>
        <v>0</v>
        <stp/>
        <stp>161831.SZ</stp>
        <stp>BuyPrice1</stp>
        <tr r="G57" s="24"/>
        <tr r="F23" s="23"/>
      </tp>
      <tp>
        <v>0</v>
        <stp/>
        <stp>HSFML25.HI</stp>
        <stp>Now</stp>
        <tr r="D46" s="24"/>
      </tp>
      <tp>
        <v>0</v>
        <stp/>
        <stp>513500.SH</stp>
        <stp>IOPV</stp>
        <tr r="G3" s="24"/>
      </tp>
      <tp>
        <v>0</v>
        <stp/>
        <stp>513520.SH</stp>
        <stp>IOPV</stp>
        <tr r="G26" s="24"/>
      </tp>
      <tp>
        <v>0</v>
        <stp/>
        <stp>159954.SZ</stp>
        <stp>BuyPrice1</stp>
        <tr r="G40" s="24"/>
      </tp>
      <tp>
        <v>0</v>
        <stp/>
        <stp>HSI.HI</stp>
        <stp>BuyVolume1</stp>
        <tr r="H33" s="24"/>
      </tp>
      <tp>
        <v>0</v>
        <stp/>
        <stp>164705.SZ</stp>
        <stp>IOPV</stp>
        <tr r="K58" s="24"/>
      </tp>
      <tp>
        <v>0</v>
        <stp/>
        <stp>160717.SZ</stp>
        <stp>IOPV</stp>
        <tr r="K56" s="24"/>
      </tp>
      <tp>
        <v>0</v>
        <stp/>
        <stp>159960.SZ</stp>
        <stp>BuyPrice1</stp>
        <tr r="G43" s="24"/>
      </tp>
      <tp>
        <v>0</v>
        <stp/>
        <stp>159963.SZ</stp>
        <stp>BuyPrice1</stp>
        <tr r="G41" s="24"/>
      </tp>
      <tp>
        <v>0</v>
        <stp/>
        <stp>513680.SH</stp>
        <stp>IOPV</stp>
        <tr r="G13" s="24"/>
        <tr r="K42" s="24"/>
      </tp>
      <tp>
        <v>0</v>
        <stp/>
        <stp>513660.SH</stp>
        <stp>IOPV</stp>
        <tr r="G8" s="24"/>
        <tr r="K36" s="24"/>
      </tp>
      <tp>
        <v>0</v>
        <stp/>
        <stp>513600.SH</stp>
        <stp>IOPV</stp>
        <tr r="K35" s="24"/>
        <tr r="G7" s="24"/>
      </tp>
      <tp>
        <v>0</v>
        <stp/>
        <stp>513990.SH</stp>
        <stp>IOPV</stp>
        <tr r="G15" s="24"/>
      </tp>
      <tp>
        <v>0</v>
        <stp/>
        <stp>510900.SH</stp>
        <stp>IOPV</stp>
        <tr r="K39" s="24"/>
        <tr r="G12" s="24"/>
      </tp>
      <tp>
        <v>0</v>
        <stp/>
        <stp>513900.SH</stp>
        <stp>IOPV</stp>
        <tr r="K37" s="24"/>
        <tr r="G14" s="24"/>
      </tp>
      <tp>
        <v>0</v>
        <stp/>
        <stp>159983.SZ</stp>
        <stp>IOPV</stp>
        <tr r="G21" s="24"/>
      </tp>
      <tp>
        <v>0</v>
        <stp/>
        <stp>159984.SZ</stp>
        <stp>IOPV</stp>
        <tr r="G22" s="24"/>
      </tp>
      <tp>
        <v>0</v>
        <stp/>
        <stp>160922.SZ</stp>
        <stp>IOPV</stp>
        <tr r="K51" s="24"/>
      </tp>
      <tp>
        <v>0</v>
        <stp/>
        <stp>159920.SZ</stp>
        <stp>IOPV</stp>
        <tr r="G6" s="24"/>
        <tr r="K34" s="24"/>
      </tp>
      <tp>
        <v>0</v>
        <stp/>
        <stp>160924.SZ</stp>
        <stp>IOPV</stp>
        <tr r="K55" s="24"/>
      </tp>
      <tp>
        <v>0</v>
        <stp/>
        <stp>159963.SZ</stp>
        <stp>IOPV</stp>
        <tr r="G11" s="24"/>
        <tr r="K41" s="24"/>
      </tp>
      <tp>
        <v>0</v>
        <stp/>
        <stp>159960.SZ</stp>
        <stp>IOPV</stp>
        <tr r="K43" s="24"/>
        <tr r="G10" s="24"/>
      </tp>
      <tp>
        <v>0</v>
        <stp/>
        <stp>159979.SZ</stp>
        <stp>IOPV</stp>
        <tr r="G20" s="24"/>
      </tp>
      <tp>
        <v>0</v>
        <stp/>
        <stp>159978.SZ</stp>
        <stp>IOPV</stp>
        <tr r="G19" s="24"/>
      </tp>
      <tp>
        <v>0</v>
        <stp/>
        <stp>159976.SZ</stp>
        <stp>IOPV</stp>
        <tr r="G18" s="24"/>
      </tp>
      <tp>
        <v>0</v>
        <stp/>
        <stp>159941.SZ</stp>
        <stp>IOPV</stp>
        <tr r="G2" s="24"/>
      </tp>
      <tp>
        <v>0</v>
        <stp/>
        <stp>159954.SZ</stp>
        <stp>IOPV</stp>
        <tr r="K40" s="24"/>
        <tr r="G9" s="24"/>
      </tp>
      <tp>
        <v>0</v>
        <stp/>
        <stp>160922.OF</stp>
        <stp>SellVolume1</stp>
        <tr r="J64" s="24"/>
      </tp>
      <tp>
        <v>0</v>
        <stp/>
        <stp>160924.OF</stp>
        <stp>SellVolume1</stp>
        <tr r="J67" s="24"/>
      </tp>
      <tp>
        <v>0</v>
        <stp/>
        <stp>160717.OF</stp>
        <stp>SellVolume1</stp>
        <tr r="J68" s="24"/>
      </tp>
      <tp>
        <v>0</v>
        <stp/>
        <stp>160125.OF</stp>
        <stp>SellVolume1</stp>
        <tr r="J66" s="24"/>
      </tp>
      <tp>
        <v>0</v>
        <stp/>
        <stp>160125.SZ</stp>
        <stp>SellVolume1</stp>
        <tr r="I20" s="23"/>
        <tr r="J54" s="24"/>
      </tp>
      <tp>
        <v>0</v>
        <stp/>
        <stp>160717.SZ</stp>
        <stp>SellVolume1</stp>
        <tr r="J56" s="24"/>
        <tr r="I22" s="23"/>
      </tp>
      <tp>
        <v>0</v>
        <stp/>
        <stp>510900.SH</stp>
        <stp>SellVolume1</stp>
        <tr r="J39" s="24"/>
      </tp>
      <tp>
        <v>0</v>
        <stp/>
        <stp>160922.SZ</stp>
        <stp>SellVolume1</stp>
        <tr r="J51" s="24"/>
        <tr r="I18" s="23"/>
      </tp>
      <tp>
        <v>0</v>
        <stp/>
        <stp>160924.SZ</stp>
        <stp>SellVolume1</stp>
        <tr r="I21" s="23"/>
        <tr r="J55" s="24"/>
      </tp>
      <tp>
        <v>0</v>
        <stp/>
        <stp>HSFML25.HI</stp>
        <stp>SellPrice1</stp>
        <tr r="I46" s="24"/>
      </tp>
      <tp>
        <v>0</v>
        <stp/>
        <stp>513880.SH</stp>
        <stp>IOPV</stp>
        <tr r="G27" s="24"/>
      </tp>
      <tp>
        <v>0</v>
        <stp/>
        <stp>513800.SH</stp>
        <stp>IOPV</stp>
        <tr r="G28" s="24"/>
      </tp>
      <tp>
        <v>0</v>
        <stp/>
        <stp>161831.SZ</stp>
        <stp>IOPV</stp>
        <tr r="K57" s="24"/>
      </tp>
      <tp>
        <v>0</v>
        <stp/>
        <stp>159809.SZ</stp>
        <stp>IOPV</stp>
        <tr r="G17" s="24"/>
      </tp>
      <tp>
        <v>0</v>
        <stp/>
        <stp>159803.SZ</stp>
        <stp>IOPV</stp>
        <tr r="G5" s="24"/>
      </tp>
      <tp>
        <v>0</v>
        <stp/>
        <stp>161831.OF</stp>
        <stp>SellVolume1</stp>
        <tr r="J69" s="24"/>
      </tp>
      <tp>
        <v>0</v>
        <stp/>
        <stp>161124.OF</stp>
        <stp>SellVolume1</stp>
        <tr r="J63" s="24"/>
      </tp>
      <tp>
        <v>0</v>
        <stp/>
        <stp>501023.OF</stp>
        <stp>SellVolume1</stp>
        <tr r="J65" s="24"/>
      </tp>
      <tp>
        <v>0</v>
        <stp/>
        <stp>501021.OF</stp>
        <stp>SellVolume1</stp>
        <tr r="J60" s="24"/>
      </tp>
      <tp>
        <v>0</v>
        <stp/>
        <stp>501050.OF</stp>
        <stp>SellVolume1</stp>
        <tr r="J61" s="24"/>
      </tp>
      <tp>
        <v>0</v>
        <stp/>
        <stp>HSMSI</stp>
        <stp>OverflowRate</stp>
        <tr r="L50" s="24"/>
      </tp>
      <tp>
        <v>0</v>
        <stp/>
        <stp>501301.OF</stp>
        <stp>SellVolume1</stp>
        <tr r="J62" s="24"/>
      </tp>
      <tp>
        <v>0</v>
        <stp/>
        <stp>161130.SZ</stp>
        <stp>SellVolume1</stp>
        <tr r="I26" s="23"/>
      </tp>
      <tp>
        <v>0</v>
        <stp/>
        <stp>161128.SZ</stp>
        <stp>SellVolume1</stp>
        <tr r="I27" s="23"/>
      </tp>
      <tp>
        <v>0</v>
        <stp/>
        <stp>161124.SZ</stp>
        <stp>SellVolume1</stp>
        <tr r="J49" s="24"/>
        <tr r="I17" s="23"/>
      </tp>
      <tp>
        <v>0</v>
        <stp/>
        <stp>161125.SZ</stp>
        <stp>SellVolume1</stp>
        <tr r="I28" s="23"/>
      </tp>
      <tp>
        <v>0</v>
        <stp/>
        <stp>161126.SZ</stp>
        <stp>SellVolume1</stp>
        <tr r="I31" s="23"/>
      </tp>
      <tp>
        <v>0</v>
        <stp/>
        <stp>161127.SZ</stp>
        <stp>SellVolume1</stp>
        <tr r="I29" s="23"/>
      </tp>
      <tp>
        <v>0</v>
        <stp/>
        <stp>501050.SH</stp>
        <stp>SellVolume1</stp>
        <tr r="I16" s="23"/>
        <tr r="J45" s="24"/>
      </tp>
      <tp>
        <v>0</v>
        <stp/>
        <stp>501023.SH</stp>
        <stp>SellVolume1</stp>
        <tr r="J53" s="24"/>
        <tr r="I19" s="23"/>
      </tp>
      <tp>
        <v>0</v>
        <stp/>
        <stp>501021.SH</stp>
        <stp>SellVolume1</stp>
        <tr r="J59" s="24"/>
        <tr r="I25" s="23"/>
      </tp>
      <tp>
        <v>0</v>
        <stp/>
        <stp>501301.SH</stp>
        <stp>SellVolume1</stp>
        <tr r="J47" s="24"/>
      </tp>
      <tp>
        <v>0</v>
        <stp/>
        <stp>161831.SZ</stp>
        <stp>SellVolume1</stp>
        <tr r="I23" s="23"/>
        <tr r="J57" s="24"/>
      </tp>
      <tp>
        <v>0</v>
        <stp/>
        <stp>161815.SZ</stp>
        <stp>SellVolume1</stp>
        <tr r="I34" s="23"/>
      </tp>
      <tp>
        <v>0</v>
        <stp/>
        <stp>162411.SZ</stp>
        <stp>SellVolume1</stp>
        <tr r="I33" s="23"/>
      </tp>
      <tp>
        <v>0</v>
        <stp/>
        <stp>162415.SZ</stp>
        <stp>SellVolume1</stp>
        <tr r="I30" s="23"/>
      </tp>
      <tp>
        <v>0</v>
        <stp/>
        <stp>513680.SH</stp>
        <stp>SellVolume1</stp>
        <tr r="J42" s="24"/>
      </tp>
      <tp>
        <v>0</v>
        <stp/>
        <stp>513660.SH</stp>
        <stp>SellVolume1</stp>
        <tr r="J36" s="24"/>
      </tp>
      <tp>
        <v>0</v>
        <stp/>
        <stp>513600.SH</stp>
        <stp>SellVolume1</stp>
        <tr r="J35" s="24"/>
      </tp>
      <tp>
        <v>0</v>
        <stp/>
        <stp>513900.SH</stp>
        <stp>SellVolume1</stp>
        <tr r="J37" s="24"/>
      </tp>
      <tp>
        <v>0</v>
        <stp/>
        <stp>HSSI</stp>
        <stp>SellPrice1</stp>
        <tr r="I48" s="24"/>
      </tp>
      <tp>
        <v>0</v>
        <stp/>
        <stp>164705.OF</stp>
        <stp>SellVolume1</stp>
        <tr r="J70" s="24"/>
      </tp>
      <tp>
        <v>0</v>
        <stp/>
        <stp>164705.SZ</stp>
        <stp>SellVolume1</stp>
        <tr r="I24" s="23"/>
        <tr r="J58" s="24"/>
      </tp>
      <tp>
        <v>0</v>
        <stp/>
        <stp>164824.SZ</stp>
        <stp>SellVolume1</stp>
        <tr r="I32" s="23"/>
      </tp>
      <tp>
        <v>0</v>
        <stp/>
        <stp>HSCEI.HI</stp>
        <stp>OverflowRate</stp>
        <tr r="L38" s="24"/>
      </tp>
      <tp>
        <v>0</v>
        <stp/>
        <stp>HSI.HI</stp>
        <stp>IOPV</stp>
        <tr r="K33" s="24"/>
      </tp>
      <tp>
        <v>0</v>
        <stp/>
        <stp>513520.SH</stp>
        <stp>OverflowRate</stp>
        <tr r="H26" s="24"/>
      </tp>
      <tp>
        <v>0</v>
        <stp/>
        <stp>513500.SH</stp>
        <stp>OverflowRate</stp>
        <tr r="H3" s="24"/>
      </tp>
      <tp>
        <v>0</v>
        <stp/>
        <stp>161128.SZ</stp>
        <stp>Amount</stp>
        <tr r="E27" s="23"/>
      </tp>
      <tp>
        <v>0</v>
        <stp/>
        <stp>159978.SZ</stp>
        <stp>Amount</stp>
        <tr r="F19" s="24"/>
      </tp>
      <tp>
        <v>0</v>
        <stp/>
        <stp>930746.CSI</stp>
        <stp>SellVolume1</stp>
        <tr r="J52" s="24"/>
      </tp>
      <tp>
        <v>0</v>
        <stp/>
        <stp>164705.SZ</stp>
        <stp>OverflowRate</stp>
        <tr r="L58" s="24"/>
      </tp>
      <tp>
        <v>0</v>
        <stp/>
        <stp>160717.SZ</stp>
        <stp>OverflowRate</stp>
        <tr r="L56" s="24"/>
      </tp>
      <tp>
        <v>0</v>
        <stp/>
        <stp>160922.OF</stp>
        <stp>Time</stp>
        <tr r="C64" s="24"/>
      </tp>
      <tp>
        <v>0</v>
        <stp/>
        <stp>160924.OF</stp>
        <stp>Time</stp>
        <tr r="C67" s="24"/>
      </tp>
      <tp>
        <v>0</v>
        <stp/>
        <stp>HSI.HI</stp>
        <stp>SellPrice1</stp>
        <tr r="I33" s="24"/>
      </tp>
      <tp>
        <v>0</v>
        <stp/>
        <stp>164906.OF</stp>
        <stp>Time</stp>
        <tr r="B25" s="21"/>
      </tp>
      <tp>
        <v>0</v>
        <stp/>
        <stp>159941.OF</stp>
        <stp>Time</stp>
        <tr r="O3" s="24"/>
      </tp>
      <tp>
        <v>0</v>
        <stp/>
        <stp>159979.SZ</stp>
        <stp>Amount</stp>
        <tr r="F20" s="24"/>
      </tp>
      <tp>
        <v>0</v>
        <stp/>
        <stp>159809.SZ</stp>
        <stp>Amount</stp>
        <tr r="F17" s="24"/>
      </tp>
      <tp>
        <v>0</v>
        <stp/>
        <stp>513600.SH</stp>
        <stp>OverflowRate</stp>
        <tr r="H7" s="24"/>
        <tr r="L35" s="24"/>
      </tp>
      <tp>
        <v>0</v>
        <stp/>
        <stp>513660.SH</stp>
        <stp>OverflowRate</stp>
        <tr r="H8" s="24"/>
        <tr r="L36" s="24"/>
      </tp>
      <tp>
        <v>0</v>
        <stp/>
        <stp>513680.SH</stp>
        <stp>OverflowRate</stp>
        <tr r="L42" s="24"/>
        <tr r="H13" s="24"/>
      </tp>
      <tp>
        <v>0</v>
        <stp/>
        <stp>513880.OF</stp>
        <stp>Time</stp>
        <tr r="O15" s="24"/>
      </tp>
      <tp>
        <v>0</v>
        <stp/>
        <stp>161831.OF</stp>
        <stp>Time</stp>
        <tr r="C69" s="24"/>
      </tp>
      <tp>
        <v>0</v>
        <stp/>
        <stp>513800.OF</stp>
        <stp>Time</stp>
        <tr r="P15" s="24"/>
      </tp>
      <tp>
        <v>0</v>
        <stp/>
        <stp>HSCEI.HI</stp>
        <stp>Volume</stp>
        <tr r="F38" s="24"/>
      </tp>
      <tp>
        <v>0</v>
        <stp/>
        <stp>513100.SH</stp>
        <stp>OverflowRate</stp>
        <tr r="H4" s="24"/>
      </tp>
      <tp>
        <v>0</v>
        <stp/>
        <stp>161124.SZ</stp>
        <stp>OverflowRate</stp>
        <tr r="L49" s="24"/>
      </tp>
      <tp>
        <v>0</v>
        <stp/>
        <stp>160125.SZ</stp>
        <stp>OverflowRate</stp>
        <tr r="L54" s="24"/>
      </tp>
      <tp>
        <v>0</v>
        <stp/>
        <stp>501021.SH</stp>
        <stp>OverflowRate</stp>
        <tr r="L59" s="24"/>
      </tp>
      <tp>
        <v>0</v>
        <stp/>
        <stp>501023.SH</stp>
        <stp>OverflowRate</stp>
        <tr r="L53" s="24"/>
      </tp>
      <tp>
        <v>0</v>
        <stp/>
        <stp>513030.SH</stp>
        <stp>OverflowRate</stp>
        <tr r="H23" s="24"/>
      </tp>
      <tp>
        <v>0</v>
        <stp/>
        <stp>513000.SH</stp>
        <stp>OverflowRate</stp>
        <tr r="H25" s="24"/>
      </tp>
      <tp>
        <v>0</v>
        <stp/>
        <stp>501050.SH</stp>
        <stp>OverflowRate</stp>
        <tr r="L45" s="24"/>
      </tp>
      <tp>
        <v>0</v>
        <stp/>
        <stp>513080.SH</stp>
        <stp>OverflowRate</stp>
        <tr r="H24" s="24"/>
      </tp>
      <tp>
        <v>0</v>
        <stp/>
        <stp>513090.SH</stp>
        <stp>OverflowRate</stp>
        <tr r="H16" s="24"/>
      </tp>
      <tp>
        <v>0</v>
        <stp/>
        <stp>950090.CSI</stp>
        <stp>SellVolume1</stp>
        <tr r="J44" s="24"/>
      </tp>
      <tp>
        <v>0</v>
        <stp/>
        <stp>501301.SH</stp>
        <stp>OverflowRate</stp>
        <tr r="L47" s="24"/>
      </tp>
      <tp>
        <v>0</v>
        <stp/>
        <stp>BIDU.O</stp>
        <stp>DifferRange</stp>
        <tr r="H15" s="14"/>
        <tr r="E8" s="18"/>
        <tr r="E6" s="20"/>
      </tp>
      <tp>
        <v>0</v>
        <stp/>
        <stp>VNET.O</stp>
        <stp>Now</stp>
        <tr r="D21" s="18"/>
        <tr r="U14" s="14"/>
      </tp>
      <tp>
        <v>0</v>
        <stp/>
        <stp>DOYU.O</stp>
        <stp>DifferRange</stp>
        <tr r="V15" s="14"/>
        <tr r="E22" s="18"/>
        <tr r="E24" s="20"/>
      </tp>
      <tp>
        <v>0</v>
        <stp/>
        <stp>HSSI</stp>
        <stp>BuyVolume1</stp>
        <tr r="H48" s="24"/>
      </tp>
      <tp>
        <v>0</v>
        <stp/>
        <stp>161831.OF</stp>
        <stp>Volume</stp>
        <tr r="F69" s="24"/>
      </tp>
      <tp>
        <v>0</v>
        <stp/>
        <stp>161831.SZ</stp>
        <stp>Volume</stp>
        <tr r="F57" s="24"/>
      </tp>
      <tp>
        <v>0</v>
        <stp/>
        <stp>162411.SZ</stp>
        <stp>Amount</stp>
        <tr r="E33" s="23"/>
      </tp>
      <tp>
        <v>0</v>
        <stp/>
        <stp>OCFT.N</stp>
        <stp>Now</stp>
        <tr r="D25" s="18"/>
        <tr r="Y14" s="14"/>
      </tp>
      <tp>
        <v>0</v>
        <stp/>
        <stp>501301.OF</stp>
        <stp>Time</stp>
        <tr r="C62" s="24"/>
      </tp>
      <tp>
        <v>0</v>
        <stp/>
        <stp>159963.SZ</stp>
        <stp>Volume</stp>
        <tr r="F41" s="24"/>
      </tp>
      <tp>
        <v>0</v>
        <stp/>
        <stp>OCFT.N</stp>
        <stp>DifferRange</stp>
        <tr r="Y15" s="14"/>
        <tr r="E25" s="18"/>
      </tp>
      <tp>
        <v>0</v>
        <stp/>
        <stp>BIDU.O</stp>
        <stp>Now</stp>
        <tr r="D6" s="20"/>
        <tr r="H14" s="14"/>
        <tr r="D8" s="18"/>
      </tp>
      <tp>
        <v>0</v>
        <stp/>
        <stp>DOYU.O</stp>
        <stp>Now</stp>
        <tr r="V14" s="14"/>
        <tr r="D22" s="18"/>
        <tr r="D24" s="20"/>
      </tp>
      <tp>
        <v>0</v>
        <stp/>
        <stp>VNET.O</stp>
        <stp>DifferRange</stp>
        <tr r="U15" s="14"/>
        <tr r="E21" s="18"/>
      </tp>
      <tp>
        <v>0</v>
        <stp/>
        <stp>159963.SZ</stp>
        <stp>Amount</stp>
        <tr r="F11" s="24"/>
      </tp>
      <tp>
        <v>0</v>
        <stp/>
        <stp>159983.SZ</stp>
        <stp>Amount</stp>
        <tr r="F21" s="24"/>
      </tp>
      <tp>
        <v>0</v>
        <stp/>
        <stp>159803.SZ</stp>
        <stp>Amount</stp>
        <tr r="F5" s="24"/>
      </tp>
      <tp>
        <v>0</v>
        <stp/>
        <stp>161130.SZ</stp>
        <stp>Amount</stp>
        <tr r="E26" s="23"/>
      </tp>
      <tp>
        <v>0</v>
        <stp/>
        <stp>SY.O</stp>
        <stp>Time</stp>
        <tr r="C28" s="18"/>
        <tr r="AB13" s="14"/>
      </tp>
      <tp>
        <v>0</v>
        <stp/>
        <stp>WB.O</stp>
        <stp>Time</stp>
        <tr r="T13" s="14"/>
        <tr r="C20" s="18"/>
        <tr r="C18" s="20"/>
      </tp>
      <tp>
        <v>0</v>
        <stp/>
        <stp>YY.O</stp>
        <stp>Time</stp>
        <tr r="O13" s="14"/>
        <tr r="C15" s="18"/>
        <tr r="C17" s="20"/>
      </tp>
      <tp>
        <v>0</v>
        <stp/>
        <stp>IQ.O</stp>
        <stp>Time</stp>
        <tr r="C13" s="20"/>
        <tr r="K13" s="14"/>
        <tr r="C11" s="18"/>
      </tp>
      <tp>
        <v>0</v>
        <stp/>
        <stp>JD.O</stp>
        <stp>Time</stp>
        <tr r="D13" s="14"/>
        <tr r="C4" s="18"/>
        <tr r="C4" s="20"/>
      </tp>
      <tp>
        <v>0</v>
        <stp/>
        <stp>LX.O</stp>
        <stp>Time</stp>
        <tr r="C22" s="20"/>
        <tr r="X13" s="14"/>
        <tr r="C24" s="18"/>
      </tp>
      <tp>
        <v>0</v>
        <stp/>
        <stp>QD.N</stp>
        <stp>Time</stp>
        <tr r="AG13" s="14"/>
        <tr r="C33" s="18"/>
      </tp>
      <tp>
        <v>0</v>
        <stp/>
        <stp>159960.SZ</stp>
        <stp>Volume</stp>
        <tr r="F43" s="24"/>
      </tp>
      <tp>
        <v>0</v>
        <stp/>
        <stp>159920.SZ</stp>
        <stp>Volume</stp>
        <tr r="F34" s="24"/>
      </tp>
      <tp>
        <v>0</v>
        <stp/>
        <stp>159960.SZ</stp>
        <stp>Amount</stp>
        <tr r="F10" s="24"/>
      </tp>
      <tp>
        <v>0</v>
        <stp/>
        <stp>159920.SZ</stp>
        <stp>Amount</stp>
        <tr r="F6" s="24"/>
      </tp>
      <tp>
        <v>0</v>
        <stp/>
        <stp>HSCEI.HI</stp>
        <stp>IOPV</stp>
        <tr r="K38" s="24"/>
      </tp>
      <tp>
        <v>0</v>
        <stp/>
        <stp>HSCEI.HI</stp>
        <stp>BuyPrice1</stp>
        <tr r="G38" s="24"/>
      </tp>
      <tp>
        <v>0</v>
        <stp/>
        <stp>160125.OF</stp>
        <stp>Time</stp>
        <tr r="C66" s="24"/>
      </tp>
      <tp>
        <v>0</v>
        <stp/>
        <stp>161124.OF</stp>
        <stp>Time</stp>
        <tr r="C63" s="24"/>
      </tp>
      <tp>
        <v>0</v>
        <stp/>
        <stp>513100.OF</stp>
        <stp>Time</stp>
        <tr r="Q3" s="24"/>
      </tp>
      <tp>
        <v>0</v>
        <stp/>
        <stp>IXIC.GI</stp>
        <stp>Time</stp>
        <tr r="N21" s="24"/>
      </tp>
      <tp>
        <v>0</v>
        <stp/>
        <stp>HSI.HI</stp>
        <stp>OverflowRate</stp>
        <tr r="L33" s="24"/>
      </tp>
      <tp>
        <v>0</v>
        <stp/>
        <stp>160922.OF</stp>
        <stp>Volume</stp>
        <tr r="F64" s="24"/>
      </tp>
      <tp>
        <v>0</v>
        <stp/>
        <stp>160922.SZ</stp>
        <stp>Volume</stp>
        <tr r="F51" s="24"/>
      </tp>
      <tp>
        <v>0</v>
        <stp/>
        <stp>159941.SZ</stp>
        <stp>Amount</stp>
        <tr r="F2" s="24"/>
      </tp>
      <tp>
        <v>0</v>
        <stp/>
        <stp>513080.OF</stp>
        <stp>Time</stp>
        <tr r="L15" s="24"/>
      </tp>
      <tp>
        <v>0</v>
        <stp/>
        <stp>513050.OF</stp>
        <stp>Time</stp>
        <tr r="C25" s="21"/>
      </tp>
      <tp>
        <v>0</v>
        <stp/>
        <stp>501050.OF</stp>
        <stp>Time</stp>
        <tr r="C61" s="24"/>
      </tp>
      <tp>
        <v>0</v>
        <stp/>
        <stp>513030.OF</stp>
        <stp>Time</stp>
        <tr r="K15" s="24"/>
      </tp>
      <tp>
        <v>0</v>
        <stp/>
        <stp>501021.OF</stp>
        <stp>Time</stp>
        <tr r="C60" s="24"/>
      </tp>
      <tp>
        <v>0</v>
        <stp/>
        <stp>501023.OF</stp>
        <stp>Time</stp>
        <tr r="C65" s="24"/>
      </tp>
      <tp>
        <v>0</v>
        <stp/>
        <stp>513000.OF</stp>
        <stp>Time</stp>
        <tr r="M15" s="24"/>
      </tp>
      <tp>
        <v>0</v>
        <stp/>
        <stp>501023.OF</stp>
        <stp>Volume</stp>
        <tr r="F65" s="24"/>
      </tp>
      <tp>
        <v>0</v>
        <stp/>
        <stp>501023.SH</stp>
        <stp>Volume</stp>
        <tr r="F53" s="24"/>
      </tp>
      <tp>
        <v>0</v>
        <stp/>
        <stp>160125.OF</stp>
        <stp>Volume</stp>
        <tr r="F66" s="24"/>
      </tp>
      <tp>
        <v>0</v>
        <stp/>
        <stp>160125.SZ</stp>
        <stp>Volume</stp>
        <tr r="F54" s="24"/>
      </tp>
      <tp>
        <v>0</v>
        <stp/>
        <stp>164705.OF</stp>
        <stp>Volume</stp>
        <tr r="F70" s="24"/>
      </tp>
      <tp>
        <v>0</v>
        <stp/>
        <stp>164705.SZ</stp>
        <stp>Volume</stp>
        <tr r="F58" s="24"/>
      </tp>
      <tp>
        <v>0</v>
        <stp/>
        <stp>159976.SZ</stp>
        <stp>Amount</stp>
        <tr r="F18" s="24"/>
      </tp>
      <tp>
        <v>0</v>
        <stp/>
        <stp>162415.SZ</stp>
        <stp>Amount</stp>
        <tr r="E30" s="23"/>
      </tp>
      <tp>
        <v>0</v>
        <stp/>
        <stp>161125.SZ</stp>
        <stp>Amount</stp>
        <tr r="E28" s="23"/>
      </tp>
      <tp>
        <v>0</v>
        <stp/>
        <stp>161815.SZ</stp>
        <stp>Amount</stp>
        <tr r="E34" s="23"/>
      </tp>
      <tp>
        <v>0</v>
        <stp/>
        <stp>513900.SH</stp>
        <stp>OverflowRate</stp>
        <tr r="H14" s="24"/>
        <tr r="L37" s="24"/>
      </tp>
      <tp>
        <v>0</v>
        <stp/>
        <stp>510900.SH</stp>
        <stp>OverflowRate</stp>
        <tr r="L39" s="24"/>
        <tr r="H12" s="24"/>
      </tp>
      <tp>
        <v>0</v>
        <stp/>
        <stp>513990.SH</stp>
        <stp>OverflowRate</stp>
        <tr r="H15" s="24"/>
      </tp>
      <tp>
        <v>0</v>
        <stp/>
        <stp>159941.SZ</stp>
        <stp>OverflowRate</stp>
        <tr r="H2" s="24"/>
      </tp>
      <tp>
        <v>0</v>
        <stp/>
        <stp>159954.SZ</stp>
        <stp>OverflowRate</stp>
        <tr r="L40" s="24"/>
        <tr r="H9" s="24"/>
      </tp>
      <tp>
        <v>0</v>
        <stp/>
        <stp>159960.SZ</stp>
        <stp>OverflowRate</stp>
        <tr r="L43" s="24"/>
        <tr r="H10" s="24"/>
      </tp>
      <tp>
        <v>0</v>
        <stp/>
        <stp>159963.SZ</stp>
        <stp>OverflowRate</stp>
        <tr r="L41" s="24"/>
        <tr r="H11" s="24"/>
      </tp>
      <tp>
        <v>0</v>
        <stp/>
        <stp>159976.SZ</stp>
        <stp>OverflowRate</stp>
        <tr r="H18" s="24"/>
      </tp>
      <tp>
        <v>0</v>
        <stp/>
        <stp>159979.SZ</stp>
        <stp>OverflowRate</stp>
        <tr r="H20" s="24"/>
      </tp>
      <tp>
        <v>0</v>
        <stp/>
        <stp>159978.SZ</stp>
        <stp>OverflowRate</stp>
        <tr r="H19" s="24"/>
      </tp>
      <tp>
        <v>0</v>
        <stp/>
        <stp>160924.SZ</stp>
        <stp>OverflowRate</stp>
        <tr r="L55" s="24"/>
      </tp>
      <tp>
        <v>0</v>
        <stp/>
        <stp>160922.SZ</stp>
        <stp>OverflowRate</stp>
        <tr r="L51" s="24"/>
      </tp>
      <tp>
        <v>0</v>
        <stp/>
        <stp>159920.SZ</stp>
        <stp>OverflowRate</stp>
        <tr r="L34" s="24"/>
        <tr r="H6" s="24"/>
      </tp>
      <tp>
        <v>0</v>
        <stp/>
        <stp>160717.OF</stp>
        <stp>Time</stp>
        <tr r="C68" s="24"/>
      </tp>
      <tp>
        <v>0</v>
        <stp/>
        <stp>164705.OF</stp>
        <stp>Time</stp>
        <tr r="C70" s="24"/>
      </tp>
      <tp>
        <v>0</v>
        <stp/>
        <stp>159984.SZ</stp>
        <stp>OverflowRate</stp>
        <tr r="H22" s="24"/>
      </tp>
      <tp>
        <v>0</v>
        <stp/>
        <stp>159983.SZ</stp>
        <stp>OverflowRate</stp>
        <tr r="H21" s="24"/>
      </tp>
      <tp>
        <v>0</v>
        <stp/>
        <stp>HSFML25.HI</stp>
        <stp>BuyVolume1</stp>
        <tr r="H46" s="24"/>
      </tp>
      <tp>
        <v>0</v>
        <stp/>
        <stp>SPX.GI</stp>
        <stp>Time</stp>
        <tr r="R21" s="24"/>
      </tp>
      <tp>
        <v>0</v>
        <stp/>
        <stp>161124.OF</stp>
        <stp>Volume</stp>
        <tr r="F63" s="24"/>
      </tp>
      <tp>
        <v>0</v>
        <stp/>
        <stp>161124.SZ</stp>
        <stp>Volume</stp>
        <tr r="F49" s="24"/>
      </tp>
      <tp>
        <v>0</v>
        <stp/>
        <stp>160924.OF</stp>
        <stp>Volume</stp>
        <tr r="F67" s="24"/>
      </tp>
      <tp>
        <v>0</v>
        <stp/>
        <stp>160924.SZ</stp>
        <stp>Volume</stp>
        <tr r="F55" s="24"/>
      </tp>
      <tp>
        <v>0</v>
        <stp/>
        <stp>164824.SZ</stp>
        <stp>Amount</stp>
        <tr r="E32" s="23"/>
      </tp>
      <tp>
        <v>0</v>
        <stp/>
        <stp>513800.SH</stp>
        <stp>OverflowRate</stp>
        <tr r="H28" s="24"/>
      </tp>
      <tp>
        <v>0</v>
        <stp/>
        <stp>513880.SH</stp>
        <stp>OverflowRate</stp>
        <tr r="H27" s="24"/>
      </tp>
      <tp>
        <v>0</v>
        <stp/>
        <stp>159803.SZ</stp>
        <stp>OverflowRate</stp>
        <tr r="H5" s="24"/>
      </tp>
      <tp>
        <v>0</v>
        <stp/>
        <stp>159809.SZ</stp>
        <stp>OverflowRate</stp>
        <tr r="H17" s="24"/>
      </tp>
      <tp>
        <v>0</v>
        <stp/>
        <stp>161831.SZ</stp>
        <stp>OverflowRate</stp>
        <tr r="L57" s="24"/>
      </tp>
      <tp>
        <v>0</v>
        <stp/>
        <stp>HSMSI</stp>
        <stp>IOPV</stp>
        <tr r="K50" s="24"/>
      </tp>
      <tp>
        <v>0</v>
        <stp/>
        <stp>159954.SZ</stp>
        <stp>Volume</stp>
        <tr r="F40" s="24"/>
      </tp>
      <tp>
        <v>0</v>
        <stp/>
        <stp>513600.SH</stp>
        <stp>Volume</stp>
        <tr r="F35" s="24"/>
      </tp>
      <tp>
        <v>0</v>
        <stp/>
        <stp>513660.SH</stp>
        <stp>Volume</stp>
        <tr r="F36" s="24"/>
      </tp>
      <tp>
        <v>0</v>
        <stp/>
        <stp>513680.SH</stp>
        <stp>Volume</stp>
        <tr r="F42" s="24"/>
      </tp>
      <tp>
        <v>0</v>
        <stp/>
        <stp>513900.SH</stp>
        <stp>Volume</stp>
        <tr r="F37" s="24"/>
      </tp>
      <tp>
        <v>0</v>
        <stp/>
        <stp>JOBS.O</stp>
        <stp>DifferRange</stp>
        <tr r="E19" s="20"/>
        <tr r="E18" s="18"/>
        <tr r="R15" s="14"/>
      </tp>
      <tp>
        <v>0</v>
        <stp/>
        <stp>501021.OF</stp>
        <stp>Volume</stp>
        <tr r="F60" s="24"/>
      </tp>
      <tp>
        <v>0</v>
        <stp/>
        <stp>501301.OF</stp>
        <stp>Volume</stp>
        <tr r="F62" s="24"/>
      </tp>
      <tp>
        <v>0</v>
        <stp/>
        <stp>501021.SH</stp>
        <stp>Volume</stp>
        <tr r="F59" s="24"/>
      </tp>
      <tp>
        <v>0</v>
        <stp/>
        <stp>501301.SH</stp>
        <stp>Volume</stp>
        <tr r="F47" s="24"/>
      </tp>
      <tp>
        <v>0</v>
        <stp/>
        <stp>160717.OF</stp>
        <stp>Volume</stp>
        <tr r="F68" s="24"/>
      </tp>
      <tp>
        <v>0</v>
        <stp/>
        <stp>160717.SZ</stp>
        <stp>Volume</stp>
        <tr r="F56" s="24"/>
      </tp>
      <tp>
        <v>0</v>
        <stp/>
        <stp>510900.SH</stp>
        <stp>Volume</stp>
        <tr r="F39" s="24"/>
      </tp>
      <tp>
        <v>0</v>
        <stp/>
        <stp>NTES.O</stp>
        <stp>DifferRange</stp>
        <tr r="E7" s="20"/>
        <tr r="F15" s="14"/>
        <tr r="E6" s="18"/>
      </tp>
      <tp>
        <v>0</v>
        <stp/>
        <stp>VIPS.N</stp>
        <stp>DifferRange</stp>
        <tr r="I15" s="14"/>
        <tr r="E9" s="18"/>
        <tr r="E12" s="20"/>
      </tp>
      <tp>
        <v>0</v>
        <stp/>
        <stp>159954.SZ</stp>
        <stp>Amount</stp>
        <tr r="F9" s="24"/>
      </tp>
      <tp>
        <v>0</v>
        <stp/>
        <stp>159984.SZ</stp>
        <stp>Amount</stp>
        <tr r="F22" s="24"/>
      </tp>
      <tp>
        <v>0</v>
        <stp/>
        <stp>513600.SH</stp>
        <stp>Amount</stp>
        <tr r="F7" s="24"/>
      </tp>
      <tp>
        <v>0</v>
        <stp/>
        <stp>513660.SH</stp>
        <stp>Amount</stp>
        <tr r="F8" s="24"/>
      </tp>
      <tp>
        <v>0</v>
        <stp/>
        <stp>513680.SH</stp>
        <stp>Amount</stp>
        <tr r="F13" s="24"/>
      </tp>
      <tp>
        <v>0</v>
        <stp/>
        <stp>513520.SH</stp>
        <stp>Amount</stp>
        <tr r="F26" s="24"/>
      </tp>
      <tp>
        <v>0</v>
        <stp/>
        <stp>513500.SH</stp>
        <stp>Amount</stp>
        <tr r="F3" s="24"/>
      </tp>
      <tp>
        <v>0</v>
        <stp/>
        <stp>513100.SH</stp>
        <stp>Amount</stp>
        <tr r="F4" s="24"/>
      </tp>
      <tp>
        <v>0</v>
        <stp/>
        <stp>513030.SH</stp>
        <stp>Amount</stp>
        <tr r="F23" s="24"/>
      </tp>
      <tp>
        <v>0</v>
        <stp/>
        <stp>513000.SH</stp>
        <stp>Amount</stp>
        <tr r="F25" s="24"/>
      </tp>
      <tp>
        <v>0</v>
        <stp/>
        <stp>513090.SH</stp>
        <stp>Amount</stp>
        <tr r="F16" s="24"/>
      </tp>
      <tp>
        <v>0</v>
        <stp/>
        <stp>513080.SH</stp>
        <stp>Amount</stp>
        <tr r="F24" s="24"/>
      </tp>
      <tp>
        <v>0</v>
        <stp/>
        <stp>513900.SH</stp>
        <stp>Amount</stp>
        <tr r="F14" s="24"/>
      </tp>
      <tp>
        <v>0</v>
        <stp/>
        <stp>513990.SH</stp>
        <stp>Amount</stp>
        <tr r="F15" s="24"/>
      </tp>
      <tp>
        <v>0</v>
        <stp/>
        <stp>513800.SH</stp>
        <stp>Amount</stp>
        <tr r="F28" s="24"/>
      </tp>
      <tp>
        <v>0</v>
        <stp/>
        <stp>513880.SH</stp>
        <stp>Amount</stp>
        <tr r="F27" s="24"/>
      </tp>
      <tp>
        <v>0</v>
        <stp/>
        <stp>161127.SZ</stp>
        <stp>Amount</stp>
        <tr r="E29" s="23"/>
      </tp>
      <tp>
        <v>0</v>
        <stp/>
        <stp>510900.SH</stp>
        <stp>Amount</stp>
        <tr r="F12" s="24"/>
      </tp>
      <tp>
        <v>0</v>
        <stp/>
        <stp>513520.OF</stp>
        <stp>Time</stp>
        <tr r="N15" s="24"/>
      </tp>
      <tp>
        <v>0</v>
        <stp/>
        <stp>513500.OF</stp>
        <stp>Time</stp>
        <tr r="P3" s="24"/>
      </tp>
      <tp>
        <v>0</v>
        <stp/>
        <stp>VIPS.N</stp>
        <stp>Now</stp>
        <tr r="I14" s="14"/>
        <tr r="D9" s="18"/>
        <tr r="D12" s="20"/>
      </tp>
      <tp>
        <v>0</v>
        <stp/>
        <stp>501050.OF</stp>
        <stp>Volume</stp>
        <tr r="F61" s="24"/>
      </tp>
      <tp>
        <v>0</v>
        <stp/>
        <stp>501050.SH</stp>
        <stp>Volume</stp>
        <tr r="F45" s="24"/>
      </tp>
      <tp>
        <v>0</v>
        <stp/>
        <stp>JOBS.O</stp>
        <stp>Now</stp>
        <tr r="D18" s="18"/>
        <tr r="D19" s="20"/>
        <tr r="R14" s="14"/>
      </tp>
      <tp>
        <v>0</v>
        <stp/>
        <stp>161126.SZ</stp>
        <stp>Amount</stp>
        <tr r="E31" s="23"/>
      </tp>
      <tp>
        <v>0</v>
        <stp/>
        <stp>NTES.O</stp>
        <stp>Now</stp>
        <tr r="D6" s="18"/>
        <tr r="D7" s="20"/>
        <tr r="F14" s="14"/>
      </tp>
      <tp>
        <v>0</v>
        <stp/>
        <stp>ATHM.N</stp>
        <stp>DifferRange</stp>
        <tr r="E16" s="18"/>
        <tr r="P15" s="14"/>
        <tr r="E15" s="20"/>
      </tp>
      <tp>
        <v>0</v>
        <stp/>
        <stp>TCOM.O</stp>
        <stp>DifferRange</stp>
        <tr r="E9" s="20"/>
        <tr r="J15" s="14"/>
        <tr r="E10" s="18"/>
      </tp>
      <tp>
        <v>0</v>
        <stp/>
        <stp>160717.SZ</stp>
        <stp>Time</stp>
        <tr r="C22" s="23"/>
        <tr r="C56" s="24"/>
      </tp>
      <tp>
        <v>0</v>
        <stp/>
        <stp>164705.SZ</stp>
        <stp>Time</stp>
        <tr r="C58" s="24"/>
        <tr r="C24" s="23"/>
      </tp>
      <tp>
        <v>0</v>
        <stp/>
        <stp>160924.OF</stp>
        <stp>OverflowRate</stp>
        <tr r="L67" s="24"/>
      </tp>
      <tp>
        <v>0</v>
        <stp/>
        <stp>160922.OF</stp>
        <stp>OverflowRate</stp>
        <tr r="L64" s="24"/>
      </tp>
      <tp>
        <v>0</v>
        <stp/>
        <stp>TCOM.O</stp>
        <stp>Now</stp>
        <tr r="D10" s="18"/>
        <tr r="D9" s="20"/>
        <tr r="J14" s="14"/>
      </tp>
      <tp>
        <v>0</v>
        <stp/>
        <stp>ATHM.N</stp>
        <stp>Now</stp>
        <tr r="D16" s="18"/>
        <tr r="P14" s="14"/>
        <tr r="D15" s="20"/>
      </tp>
      <tp>
        <v>0</v>
        <stp/>
        <stp>161831.OF</stp>
        <stp>OverflowRate</stp>
        <tr r="L69" s="24"/>
      </tp>
      <tp>
        <v>0</v>
        <stp/>
        <stp>513600.SH</stp>
        <stp>Time</stp>
        <tr r="C35" s="24"/>
        <tr r="C7" s="24"/>
      </tp>
      <tp>
        <v>0</v>
        <stp/>
        <stp>513660.SH</stp>
        <stp>Time</stp>
        <tr r="C36" s="24"/>
        <tr r="C8" s="24"/>
      </tp>
      <tp>
        <v>0</v>
        <stp/>
        <stp>513680.SH</stp>
        <stp>Time</stp>
        <tr r="C13" s="24"/>
        <tr r="C42" s="24"/>
      </tp>
      <tp>
        <v>0</v>
        <stp/>
        <stp>FCHI.GI</stp>
        <stp>Time</stp>
        <tr r="K21" s="24"/>
      </tp>
      <tp>
        <v>0</v>
        <stp/>
        <stp>NDX.GI</stp>
        <stp>Time</stp>
        <tr r="P21" s="24"/>
      </tp>
      <tp>
        <v>0</v>
        <stp/>
        <stp>QFIN.O</stp>
        <stp>Now</stp>
        <tr r="AD14" s="14"/>
        <tr r="D30" s="18"/>
      </tp>
      <tp>
        <v>0</v>
        <stp/>
        <stp>MOMO.O</stp>
        <stp>DifferRange</stp>
        <tr r="E17" s="18"/>
        <tr r="Q15" s="14"/>
        <tr r="E14" s="20"/>
      </tp>
      <tp>
        <v>0</v>
        <stp/>
        <stp>SOGO.N</stp>
        <stp>DifferRange</stp>
        <tr r="E31" s="18"/>
        <tr r="AE15" s="14"/>
      </tp>
      <tp>
        <v>0</v>
        <stp/>
        <stp>BZUN.O</stp>
        <stp>Now</stp>
        <tr r="W14" s="14"/>
        <tr r="D23" s="20"/>
        <tr r="D23" s="18"/>
      </tp>
      <tp>
        <v>0</v>
        <stp/>
        <stp>513500.SH</stp>
        <stp>Time</stp>
        <tr r="C3" s="24"/>
      </tp>
      <tp>
        <v>0</v>
        <stp/>
        <stp>513520.SH</stp>
        <stp>Time</stp>
        <tr r="C26" s="24"/>
      </tp>
      <tp>
        <v>0</v>
        <stp/>
        <stp>BZUN.O</stp>
        <stp>DifferRange</stp>
        <tr r="E23" s="20"/>
        <tr r="W15" s="14"/>
        <tr r="E23" s="18"/>
      </tp>
      <tp>
        <v>0</v>
        <stp/>
        <stp>SOGO.N</stp>
        <stp>Now</stp>
        <tr r="D31" s="18"/>
        <tr r="AE14" s="14"/>
      </tp>
      <tp>
        <v>0</v>
        <stp/>
        <stp>QFIN.O</stp>
        <stp>DifferRange</stp>
        <tr r="AD15" s="14"/>
        <tr r="E30" s="18"/>
      </tp>
      <tp>
        <v>0</v>
        <stp/>
        <stp>MOMO.O</stp>
        <stp>Now</stp>
        <tr r="D17" s="18"/>
        <tr r="D14" s="20"/>
        <tr r="Q14" s="14"/>
      </tp>
      <tp>
        <v>0</v>
        <stp/>
        <stp>162411.SZ</stp>
        <stp>Time</stp>
        <tr r="C33" s="23"/>
      </tp>
      <tp>
        <v>0</v>
        <stp/>
        <stp>162415.SZ</stp>
        <stp>Time</stp>
        <tr r="C30" s="23"/>
      </tp>
      <tp>
        <v>0</v>
        <stp/>
        <stp>BILI.O</stp>
        <stp>DifferRange</stp>
        <tr r="E10" s="20"/>
        <tr r="E15" s="14"/>
        <tr r="E5" s="18"/>
      </tp>
      <tp>
        <v>0</v>
        <stp/>
        <stp>FANH.O</stp>
        <stp>Now</stp>
        <tr r="D27" s="18"/>
        <tr r="D25" s="20"/>
        <tr r="AA14" s="14"/>
      </tp>
      <tp>
        <v>0</v>
        <stp/>
        <stp>501301.SH</stp>
        <stp>Time</stp>
        <tr r="C47" s="24"/>
      </tp>
      <tp>
        <v>0</v>
        <stp/>
        <stp>000300.SH</stp>
        <stp>Time</stp>
        <tr r="G3" s="7"/>
      </tp>
      <tp>
        <v>0</v>
        <stp/>
        <stp>FANH.O</stp>
        <stp>DifferRange</stp>
        <tr r="E27" s="18"/>
        <tr r="E25" s="20"/>
        <tr r="AA15" s="14"/>
      </tp>
      <tp>
        <v>0</v>
        <stp/>
        <stp>BILI.O</stp>
        <stp>Now</stp>
        <tr r="D5" s="18"/>
        <tr r="E14" s="14"/>
        <tr r="D10" s="20"/>
      </tp>
      <tp>
        <v>0</v>
        <stp/>
        <stp>HSFML25.HI</stp>
        <stp>SellVolume1</stp>
        <tr r="J46" s="24"/>
      </tp>
      <tp>
        <v>0</v>
        <stp/>
        <stp>161130.SZ</stp>
        <stp>Time</stp>
        <tr r="C26" s="23"/>
      </tp>
      <tp>
        <v>0</v>
        <stp/>
        <stp>161128.SZ</stp>
        <stp>Time</stp>
        <tr r="C27" s="23"/>
      </tp>
      <tp>
        <v>0</v>
        <stp/>
        <stp>161127.SZ</stp>
        <stp>Time</stp>
        <tr r="C29" s="23"/>
      </tp>
      <tp>
        <v>0</v>
        <stp/>
        <stp>161126.SZ</stp>
        <stp>Time</stp>
        <tr r="C31" s="23"/>
      </tp>
      <tp>
        <v>0</v>
        <stp/>
        <stp>160125.SZ</stp>
        <stp>Time</stp>
        <tr r="C20" s="23"/>
        <tr r="C54" s="24"/>
      </tp>
      <tp>
        <v>0</v>
        <stp/>
        <stp>161125.SZ</stp>
        <stp>Time</stp>
        <tr r="C28" s="23"/>
      </tp>
      <tp>
        <v>0</v>
        <stp/>
        <stp>161124.SZ</stp>
        <stp>Time</stp>
        <tr r="C17" s="23"/>
        <tr r="C49" s="24"/>
      </tp>
      <tp>
        <v>0</v>
        <stp/>
        <stp>513100.SH</stp>
        <stp>Time</stp>
        <tr r="C4" s="24"/>
      </tp>
      <tp>
        <v>0</v>
        <stp/>
        <stp>159803.SZ</stp>
        <stp>DifferRange</stp>
        <tr r="E5" s="24"/>
      </tp>
      <tp>
        <v>0</v>
        <stp/>
        <stp>159809.SZ</stp>
        <stp>DifferRange</stp>
        <tr r="E17" s="24"/>
      </tp>
      <tp>
        <v>0</v>
        <stp/>
        <stp>159984.SZ</stp>
        <stp>DifferRange</stp>
        <tr r="E22" s="24"/>
      </tp>
      <tp>
        <v>0</v>
        <stp/>
        <stp>159983.SZ</stp>
        <stp>DifferRange</stp>
        <tr r="E21" s="24"/>
      </tp>
      <tp>
        <v>0</v>
        <stp/>
        <stp>159920.SZ</stp>
        <stp>DifferRange</stp>
        <tr r="E34" s="24"/>
        <tr r="E6" s="24"/>
      </tp>
      <tp>
        <v>0</v>
        <stp/>
        <stp>159976.SZ</stp>
        <stp>DifferRange</stp>
        <tr r="E18" s="24"/>
      </tp>
      <tp>
        <v>0</v>
        <stp/>
        <stp>159979.SZ</stp>
        <stp>DifferRange</stp>
        <tr r="E20" s="24"/>
      </tp>
      <tp>
        <v>0</v>
        <stp/>
        <stp>159978.SZ</stp>
        <stp>DifferRange</stp>
        <tr r="E19" s="24"/>
      </tp>
      <tp>
        <v>0</v>
        <stp/>
        <stp>159960.SZ</stp>
        <stp>DifferRange</stp>
        <tr r="E10" s="24"/>
        <tr r="E43" s="24"/>
      </tp>
      <tp>
        <v>0</v>
        <stp/>
        <stp>159963.SZ</stp>
        <stp>DifferRange</stp>
        <tr r="E41" s="24"/>
        <tr r="E11" s="24"/>
      </tp>
      <tp>
        <v>0</v>
        <stp/>
        <stp>159954.SZ</stp>
        <stp>DifferRange</stp>
        <tr r="E40" s="24"/>
        <tr r="E9" s="24"/>
      </tp>
      <tp>
        <v>0</v>
        <stp/>
        <stp>159941.SZ</stp>
        <stp>DifferRange</stp>
        <tr r="E2" s="24"/>
      </tp>
      <tp>
        <v>0</v>
        <stp/>
        <stp>159941.OF</stp>
        <stp>DifferRange</stp>
        <tr r="O5" s="24"/>
      </tp>
      <tp>
        <v>0</v>
        <stp/>
        <stp>513000.SH</stp>
        <stp>Time</stp>
        <tr r="C25" s="24"/>
      </tp>
      <tp>
        <v>0</v>
        <stp/>
        <stp>513030.SH</stp>
        <stp>Time</stp>
        <tr r="C23" s="24"/>
      </tp>
      <tp>
        <v>0</v>
        <stp/>
        <stp>501021.SH</stp>
        <stp>Time</stp>
        <tr r="C59" s="24"/>
        <tr r="C25" s="23"/>
      </tp>
      <tp>
        <v>0</v>
        <stp/>
        <stp>501023.SH</stp>
        <stp>Time</stp>
        <tr r="C53" s="24"/>
        <tr r="C19" s="23"/>
      </tp>
      <tp>
        <v>0</v>
        <stp/>
        <stp>513050.SH</stp>
        <stp>Time</stp>
        <tr r="C11" s="21"/>
      </tp>
      <tp>
        <v>0</v>
        <stp/>
        <stp>501050.SH</stp>
        <stp>Time</stp>
        <tr r="C16" s="23"/>
        <tr r="C45" s="24"/>
      </tp>
      <tp>
        <v>0</v>
        <stp/>
        <stp>000016.SH</stp>
        <stp>Time</stp>
        <tr r="B3" s="7"/>
      </tp>
      <tp>
        <v>0</v>
        <stp/>
        <stp>513090.SH</stp>
        <stp>Time</stp>
        <tr r="C16" s="24"/>
      </tp>
      <tp>
        <v>0</v>
        <stp/>
        <stp>513080.SH</stp>
        <stp>Time</stp>
        <tr r="C24" s="24"/>
      </tp>
      <tp>
        <v>0</v>
        <stp/>
        <stp>159941.OF</stp>
        <stp>Now</stp>
        <tr r="O4" s="24"/>
      </tp>
      <tp>
        <v>0</v>
        <stp/>
        <stp>159983.SZ</stp>
        <stp>Now</stp>
        <tr r="D21" s="24"/>
      </tp>
      <tp>
        <v>0</v>
        <stp/>
        <stp>159984.SZ</stp>
        <stp>Now</stp>
        <tr r="D22" s="24"/>
      </tp>
      <tp>
        <v>0</v>
        <stp/>
        <stp>159954.SZ</stp>
        <stp>Now</stp>
        <tr r="D9" s="24"/>
        <tr r="D40" s="24"/>
      </tp>
      <tp>
        <v>0</v>
        <stp/>
        <stp>159941.SZ</stp>
        <stp>Now</stp>
        <tr r="D2" s="24"/>
      </tp>
      <tp>
        <v>0</v>
        <stp/>
        <stp>159978.SZ</stp>
        <stp>Now</stp>
        <tr r="D19" s="24"/>
      </tp>
      <tp>
        <v>0</v>
        <stp/>
        <stp>159979.SZ</stp>
        <stp>Now</stp>
        <tr r="D20" s="24"/>
      </tp>
      <tp>
        <v>0</v>
        <stp/>
        <stp>159976.SZ</stp>
        <stp>Now</stp>
        <tr r="D18" s="24"/>
      </tp>
      <tp>
        <v>0</v>
        <stp/>
        <stp>159963.SZ</stp>
        <stp>Now</stp>
        <tr r="D41" s="24"/>
        <tr r="D11" s="24"/>
      </tp>
      <tp>
        <v>0</v>
        <stp/>
        <stp>159960.SZ</stp>
        <stp>Now</stp>
        <tr r="D10" s="24"/>
        <tr r="D43" s="24"/>
      </tp>
      <tp>
        <v>0</v>
        <stp/>
        <stp>159920.SZ</stp>
        <stp>Now</stp>
        <tr r="D34" s="24"/>
        <tr r="D6" s="24"/>
      </tp>
      <tp>
        <v>0</v>
        <stp/>
        <stp>159809.SZ</stp>
        <stp>Now</stp>
        <tr r="D17" s="24"/>
      </tp>
      <tp>
        <v>0</v>
        <stp/>
        <stp>159803.SZ</stp>
        <stp>Now</stp>
        <tr r="D5" s="24"/>
      </tp>
      <tp>
        <v>0</v>
        <stp/>
        <stp>161124.OF</stp>
        <stp>OverflowRate</stp>
        <tr r="L63" s="24"/>
      </tp>
      <tp>
        <v>0</v>
        <stp/>
        <stp>160125.OF</stp>
        <stp>OverflowRate</stp>
        <tr r="L66" s="24"/>
      </tp>
      <tp>
        <v>0</v>
        <stp/>
        <stp>HSI.HI</stp>
        <stp>Time</stp>
        <tr r="M21" s="24"/>
        <tr r="C33" s="24"/>
      </tp>
      <tp>
        <v>0</v>
        <stp/>
        <stp>501050.OF</stp>
        <stp>OverflowRate</stp>
        <tr r="L61" s="24"/>
      </tp>
      <tp>
        <v>0</v>
        <stp/>
        <stp>501021.OF</stp>
        <stp>OverflowRate</stp>
        <tr r="L60" s="24"/>
      </tp>
      <tp>
        <v>0</v>
        <stp/>
        <stp>501023.OF</stp>
        <stp>OverflowRate</stp>
        <tr r="L65" s="24"/>
      </tp>
      <tp>
        <v>0</v>
        <stp/>
        <stp>501301.OF</stp>
        <stp>OverflowRate</stp>
        <tr r="L62" s="24"/>
      </tp>
      <tp>
        <v>0</v>
        <stp/>
        <stp>164906.OF</stp>
        <stp>Now</stp>
        <tr r="B26" s="21"/>
      </tp>
      <tp>
        <v>0</v>
        <stp/>
        <stp>164705.OF</stp>
        <stp>Now</stp>
        <tr r="D70" s="24"/>
      </tp>
      <tp>
        <v>0</v>
        <stp/>
        <stp>164705.SZ</stp>
        <stp>Now</stp>
        <tr r="D24" s="23"/>
        <tr r="D58" s="24"/>
      </tp>
      <tp>
        <v>0</v>
        <stp/>
        <stp>164906.SZ</stp>
        <stp>Now</stp>
        <tr r="D10" s="21"/>
      </tp>
      <tp>
        <v>0</v>
        <stp/>
        <stp>164824.SZ</stp>
        <stp>Now</stp>
        <tr r="D32" s="23"/>
      </tp>
      <tp>
        <v>0</v>
        <stp/>
        <stp>164705.SZ</stp>
        <stp>DifferRange</stp>
        <tr r="E58" s="24"/>
      </tp>
      <tp>
        <v>0</v>
        <stp/>
        <stp>164906.SZ</stp>
        <stp>DifferRange</stp>
        <tr r="E10" s="21"/>
      </tp>
      <tp>
        <v>0</v>
        <stp/>
        <stp>164906.OF</stp>
        <stp>DifferRange</stp>
        <tr r="B27" s="21"/>
      </tp>
      <tp>
        <v>0</v>
        <stp/>
        <stp>164705.OF</stp>
        <stp>DifferRange</stp>
        <tr r="E70" s="24"/>
      </tp>
      <tp>
        <v>0</v>
        <stp/>
        <stp>BABA.N</stp>
        <stp>DifferRange</stp>
        <tr r="E3" s="20"/>
        <tr r="E2" s="18"/>
        <tr r="B15" s="14"/>
      </tp>
      <tp>
        <v>0</v>
        <stp/>
        <stp>HUYA.N</stp>
        <stp>DifferRange</stp>
        <tr r="E26" s="18"/>
        <tr r="Z15" s="14"/>
      </tp>
      <tp>
        <v>0</v>
        <stp/>
        <stp>SINA.O</stp>
        <stp>DifferRange</stp>
        <tr r="E20" s="20"/>
        <tr r="E19" s="18"/>
        <tr r="S15" s="14"/>
      </tp>
      <tp>
        <v>0</v>
        <stp/>
        <stp>WUBA.N</stp>
        <stp>DifferRange</stp>
        <tr r="N15" s="14"/>
        <tr r="E14" s="18"/>
        <tr r="E11" s="20"/>
      </tp>
      <tp>
        <v>0</v>
        <stp/>
        <stp>513090.SH</stp>
        <stp>DifferRange</stp>
        <tr r="E16" s="24"/>
      </tp>
      <tp>
        <v>0</v>
        <stp/>
        <stp>513080.SH</stp>
        <stp>DifferRange</stp>
        <tr r="E24" s="24"/>
      </tp>
      <tp>
        <v>0</v>
        <stp/>
        <stp>513050.SH</stp>
        <stp>DifferRange</stp>
        <tr r="E11" s="21"/>
      </tp>
      <tp>
        <v>0</v>
        <stp/>
        <stp>513000.SH</stp>
        <stp>DifferRange</stp>
        <tr r="E25" s="24"/>
      </tp>
      <tp>
        <v>0</v>
        <stp/>
        <stp>513030.SH</stp>
        <stp>DifferRange</stp>
        <tr r="E23" s="24"/>
      </tp>
      <tp>
        <v>0</v>
        <stp/>
        <stp>513100.SH</stp>
        <stp>DifferRange</stp>
        <tr r="E4" s="24"/>
      </tp>
      <tp>
        <v>0</v>
        <stp/>
        <stp>513680.SH</stp>
        <stp>DifferRange</stp>
        <tr r="E42" s="24"/>
        <tr r="E13" s="24"/>
      </tp>
      <tp>
        <v>0</v>
        <stp/>
        <stp>513660.SH</stp>
        <stp>DifferRange</stp>
        <tr r="E36" s="24"/>
        <tr r="E8" s="24"/>
      </tp>
      <tp>
        <v>0</v>
        <stp/>
        <stp>513600.SH</stp>
        <stp>DifferRange</stp>
        <tr r="E7" s="24"/>
        <tr r="E35" s="24"/>
      </tp>
      <tp>
        <v>0</v>
        <stp/>
        <stp>513500.SH</stp>
        <stp>DifferRange</stp>
        <tr r="E3" s="24"/>
      </tp>
      <tp>
        <v>0</v>
        <stp/>
        <stp>513520.SH</stp>
        <stp>DifferRange</stp>
        <tr r="E26" s="24"/>
      </tp>
      <tp>
        <v>0</v>
        <stp/>
        <stp>513880.SH</stp>
        <stp>DifferRange</stp>
        <tr r="E27" s="24"/>
      </tp>
      <tp>
        <v>0</v>
        <stp/>
        <stp>513800.SH</stp>
        <stp>DifferRange</stp>
        <tr r="E28" s="24"/>
      </tp>
      <tp>
        <v>0</v>
        <stp/>
        <stp>513990.SH</stp>
        <stp>DifferRange</stp>
        <tr r="E15" s="24"/>
      </tp>
      <tp>
        <v>0</v>
        <stp/>
        <stp>513900.SH</stp>
        <stp>DifferRange</stp>
        <tr r="E37" s="24"/>
        <tr r="E14" s="24"/>
      </tp>
      <tp>
        <v>0</v>
        <stp/>
        <stp>162411.SZ</stp>
        <stp>Now</stp>
        <tr r="D33" s="23"/>
      </tp>
      <tp>
        <v>0</v>
        <stp/>
        <stp>162415.SZ</stp>
        <stp>Now</stp>
        <tr r="D30" s="23"/>
      </tp>
      <tp>
        <v>0</v>
        <stp/>
        <stp>513800.OF</stp>
        <stp>DifferRange</stp>
        <tr r="P17" s="24"/>
      </tp>
      <tp>
        <v>0</v>
        <stp/>
        <stp>513880.OF</stp>
        <stp>DifferRange</stp>
        <tr r="O17" s="24"/>
      </tp>
      <tp>
        <v>0</v>
        <stp/>
        <stp>513520.OF</stp>
        <stp>DifferRange</stp>
        <tr r="N17" s="24"/>
      </tp>
      <tp>
        <v>0</v>
        <stp/>
        <stp>513500.OF</stp>
        <stp>DifferRange</stp>
        <tr r="P5" s="24"/>
      </tp>
      <tp>
        <v>0</v>
        <stp/>
        <stp>513030.OF</stp>
        <stp>DifferRange</stp>
        <tr r="K17" s="24"/>
      </tp>
      <tp>
        <v>0</v>
        <stp/>
        <stp>513000.OF</stp>
        <stp>DifferRange</stp>
        <tr r="M17" s="24"/>
      </tp>
      <tp>
        <v>0</v>
        <stp/>
        <stp>513050.OF</stp>
        <stp>DifferRange</stp>
        <tr r="C27" s="21"/>
      </tp>
      <tp>
        <v>0</v>
        <stp/>
        <stp>513080.OF</stp>
        <stp>DifferRange</stp>
        <tr r="L17" s="24"/>
      </tp>
      <tp>
        <v>0</v>
        <stp/>
        <stp>513100.OF</stp>
        <stp>DifferRange</stp>
        <tr r="Q5" s="24"/>
      </tp>
      <tp>
        <v>0</v>
        <stp/>
        <stp>SINA.O</stp>
        <stp>Now</stp>
        <tr r="S14" s="14"/>
        <tr r="D19" s="18"/>
        <tr r="D20" s="20"/>
      </tp>
      <tp>
        <v>0</v>
        <stp/>
        <stp>WUBA.N</stp>
        <stp>Now</stp>
        <tr r="D11" s="20"/>
        <tr r="N14" s="14"/>
        <tr r="D14" s="18"/>
      </tp>
      <tp>
        <v>0</v>
        <stp/>
        <stp>BABA.N</stp>
        <stp>Now</stp>
        <tr r="D3" s="20"/>
        <tr r="B14" s="14"/>
        <tr r="D2" s="18"/>
      </tp>
      <tp>
        <v>0</v>
        <stp/>
        <stp>HUYA.N</stp>
        <stp>Now</stp>
        <tr r="D26" s="18"/>
        <tr r="Z14" s="14"/>
      </tp>
      <tp>
        <v>0</v>
        <stp/>
        <stp>513800.OF</stp>
        <stp>Now</stp>
        <tr r="P16" s="24"/>
      </tp>
      <tp>
        <v>0</v>
        <stp/>
        <stp>513880.OF</stp>
        <stp>Now</stp>
        <tr r="O16" s="24"/>
      </tp>
      <tp>
        <v>0</v>
        <stp/>
        <stp>513500.OF</stp>
        <stp>Now</stp>
        <tr r="P4" s="24"/>
      </tp>
      <tp>
        <v>0</v>
        <stp/>
        <stp>513520.OF</stp>
        <stp>Now</stp>
        <tr r="N16" s="24"/>
      </tp>
      <tp>
        <v>0</v>
        <stp/>
        <stp>513100.OF</stp>
        <stp>Now</stp>
        <tr r="Q4" s="24"/>
      </tp>
      <tp>
        <v>0</v>
        <stp/>
        <stp>513050.OF</stp>
        <stp>Now</stp>
        <tr r="C26" s="21"/>
      </tp>
      <tp>
        <v>0</v>
        <stp/>
        <stp>513000.OF</stp>
        <stp>Now</stp>
        <tr r="M16" s="24"/>
      </tp>
      <tp>
        <v>0</v>
        <stp/>
        <stp>513030.OF</stp>
        <stp>Now</stp>
        <tr r="K16" s="24"/>
      </tp>
      <tp>
        <v>0</v>
        <stp/>
        <stp>513080.OF</stp>
        <stp>Now</stp>
        <tr r="L16" s="24"/>
      </tp>
      <tp>
        <v>0</v>
        <stp/>
        <stp>513100.SH</stp>
        <stp>Now</stp>
        <tr r="D4" s="24"/>
      </tp>
      <tp>
        <v>0</v>
        <stp/>
        <stp>513090.SH</stp>
        <stp>Now</stp>
        <tr r="D16" s="24"/>
      </tp>
      <tp>
        <v>0</v>
        <stp/>
        <stp>513080.SH</stp>
        <stp>Now</stp>
        <tr r="D24" s="24"/>
      </tp>
      <tp>
        <v>0</v>
        <stp/>
        <stp>513030.SH</stp>
        <stp>Now</stp>
        <tr r="D23" s="24"/>
      </tp>
      <tp>
        <v>0</v>
        <stp/>
        <stp>513000.SH</stp>
        <stp>Now</stp>
        <tr r="D25" s="24"/>
      </tp>
      <tp>
        <v>0</v>
        <stp/>
        <stp>513050.SH</stp>
        <stp>Now</stp>
        <tr r="D11" s="21"/>
      </tp>
      <tp>
        <v>0</v>
        <stp/>
        <stp>513520.SH</stp>
        <stp>Now</stp>
        <tr r="D26" s="24"/>
      </tp>
      <tp>
        <v>0</v>
        <stp/>
        <stp>513500.SH</stp>
        <stp>Now</stp>
        <tr r="D3" s="24"/>
      </tp>
      <tp>
        <v>0</v>
        <stp/>
        <stp>513680.SH</stp>
        <stp>Now</stp>
        <tr r="D42" s="24"/>
        <tr r="D13" s="24"/>
      </tp>
      <tp>
        <v>0</v>
        <stp/>
        <stp>513600.SH</stp>
        <stp>Now</stp>
        <tr r="D7" s="24"/>
        <tr r="D35" s="24"/>
      </tp>
      <tp>
        <v>0</v>
        <stp/>
        <stp>513660.SH</stp>
        <stp>Now</stp>
        <tr r="D36" s="24"/>
        <tr r="D8" s="24"/>
      </tp>
      <tp>
        <v>0</v>
        <stp/>
        <stp>513990.SH</stp>
        <stp>Now</stp>
        <tr r="D15" s="24"/>
      </tp>
      <tp>
        <v>0</v>
        <stp/>
        <stp>513900.SH</stp>
        <stp>Now</stp>
        <tr r="D14" s="24"/>
        <tr r="D37" s="24"/>
      </tp>
      <tp>
        <v>0</v>
        <stp/>
        <stp>513880.SH</stp>
        <stp>Now</stp>
        <tr r="D27" s="24"/>
      </tp>
      <tp>
        <v>0</v>
        <stp/>
        <stp>513800.SH</stp>
        <stp>Now</stp>
        <tr r="D28" s="24"/>
      </tp>
      <tp>
        <v>0</v>
        <stp/>
        <stp>159978.SZ</stp>
        <stp>Time</stp>
        <tr r="C19" s="24"/>
      </tp>
      <tp>
        <v>0</v>
        <stp/>
        <stp>159979.SZ</stp>
        <stp>Time</stp>
        <tr r="C20" s="24"/>
      </tp>
      <tp>
        <v>0</v>
        <stp/>
        <stp>159976.SZ</stp>
        <stp>Time</stp>
        <tr r="C18" s="24"/>
      </tp>
      <tp>
        <v>0</v>
        <stp/>
        <stp>159960.SZ</stp>
        <stp>Time</stp>
        <tr r="C10" s="24"/>
        <tr r="C43" s="24"/>
      </tp>
      <tp>
        <v>0</v>
        <stp/>
        <stp>159963.SZ</stp>
        <stp>Time</stp>
        <tr r="C11" s="24"/>
        <tr r="C41" s="24"/>
      </tp>
      <tp>
        <v>0</v>
        <stp/>
        <stp>159954.SZ</stp>
        <stp>Time</stp>
        <tr r="C40" s="24"/>
        <tr r="C9" s="24"/>
      </tp>
      <tp>
        <v>0</v>
        <stp/>
        <stp>159941.SZ</stp>
        <stp>Time</stp>
        <tr r="C2" s="24"/>
      </tp>
      <tp>
        <v>0</v>
        <stp/>
        <stp>159920.SZ</stp>
        <stp>Time</stp>
        <tr r="C34" s="24"/>
        <tr r="C6" s="24"/>
      </tp>
      <tp>
        <v>0</v>
        <stp/>
        <stp>160922.SZ</stp>
        <stp>Time</stp>
        <tr r="C18" s="23"/>
        <tr r="C51" s="24"/>
      </tp>
      <tp>
        <v>0</v>
        <stp/>
        <stp>160924.SZ</stp>
        <stp>Time</stp>
        <tr r="C21" s="23"/>
        <tr r="C55" s="24"/>
      </tp>
      <tp>
        <v>0</v>
        <stp/>
        <stp>164906.SZ</stp>
        <stp>Time</stp>
        <tr r="C10" s="21"/>
      </tp>
      <tp>
        <v>0</v>
        <stp/>
        <stp>164705.OF</stp>
        <stp>OverflowRate</stp>
        <tr r="L70" s="24"/>
      </tp>
      <tp>
        <v>0</v>
        <stp/>
        <stp>160717.OF</stp>
        <stp>OverflowRate</stp>
        <tr r="L68" s="24"/>
      </tp>
      <tp>
        <v>0</v>
        <stp/>
        <stp>HSMSI</stp>
        <stp>BuyVolume1</stp>
        <tr r="H50" s="24"/>
      </tp>
      <tp>
        <v>0</v>
        <stp/>
        <stp>159983.SZ</stp>
        <stp>Time</stp>
        <tr r="C21" s="24"/>
      </tp>
      <tp>
        <v>0</v>
        <stp/>
        <stp>159984.SZ</stp>
        <stp>Time</stp>
        <tr r="C22" s="24"/>
      </tp>
      <tp>
        <v>0</v>
        <stp/>
        <stp>510900.SH</stp>
        <stp>Time</stp>
        <tr r="C12" s="24"/>
        <tr r="C39" s="24"/>
      </tp>
      <tp>
        <v>0</v>
        <stp/>
        <stp>513900.SH</stp>
        <stp>Time</stp>
        <tr r="C37" s="24"/>
        <tr r="C14" s="24"/>
      </tp>
      <tp>
        <v>0</v>
        <stp/>
        <stp>000905.SH</stp>
        <stp>Time</stp>
        <tr r="L3" s="7"/>
      </tp>
      <tp>
        <v>0</v>
        <stp/>
        <stp>513990.SH</stp>
        <stp>Time</stp>
        <tr r="C15" s="24"/>
      </tp>
      <tp>
        <v>0</v>
        <stp/>
        <stp>501301.SH</stp>
        <stp>DifferRange</stp>
        <tr r="E47" s="24"/>
      </tp>
      <tp>
        <v>0</v>
        <stp/>
        <stp>501050.SH</stp>
        <stp>DifferRange</stp>
        <tr r="E45" s="24"/>
      </tp>
      <tp>
        <v>0</v>
        <stp/>
        <stp>501021.SH</stp>
        <stp>DifferRange</stp>
        <tr r="E59" s="24"/>
      </tp>
      <tp>
        <v>0</v>
        <stp/>
        <stp>501023.SH</stp>
        <stp>DifferRange</stp>
        <tr r="E53" s="24"/>
      </tp>
      <tp>
        <v>0</v>
        <stp/>
        <stp>161124.SZ</stp>
        <stp>DifferRange</stp>
        <tr r="E49" s="24"/>
      </tp>
      <tp>
        <v>0</v>
        <stp/>
        <stp>160922.OF</stp>
        <stp>Now</stp>
        <tr r="D64" s="24"/>
      </tp>
      <tp>
        <v>0</v>
        <stp/>
        <stp>160924.OF</stp>
        <stp>Now</stp>
        <tr r="D67" s="24"/>
      </tp>
      <tp>
        <v>0</v>
        <stp/>
        <stp>161831.SZ</stp>
        <stp>DifferRange</stp>
        <tr r="E57" s="24"/>
      </tp>
      <tp>
        <v>0</v>
        <stp/>
        <stp>160717.OF</stp>
        <stp>Now</stp>
        <tr r="D68" s="24"/>
      </tp>
      <tp>
        <v>0</v>
        <stp/>
        <stp>160125.OF</stp>
        <stp>Now</stp>
        <tr r="D66" s="24"/>
      </tp>
      <tp>
        <v>0</v>
        <stp/>
        <stp>160125.SZ</stp>
        <stp>Now</stp>
        <tr r="D20" s="23"/>
        <tr r="D54" s="24"/>
      </tp>
      <tp>
        <v>0</v>
        <stp/>
        <stp>000016.SH</stp>
        <stp>Now</stp>
        <tr r="B4" s="7"/>
      </tp>
      <tp>
        <v>0</v>
        <stp/>
        <stp>000300.SH</stp>
        <stp>Now</stp>
        <tr r="G4" s="7"/>
      </tp>
      <tp>
        <v>0</v>
        <stp/>
        <stp>161831.OF</stp>
        <stp>DifferRange</stp>
        <tr r="E69" s="24"/>
      </tp>
      <tp>
        <v>0</v>
        <stp/>
        <stp>160717.SZ</stp>
        <stp>Now</stp>
        <tr r="D22" s="23"/>
        <tr r="D56" s="24"/>
      </tp>
      <tp>
        <v>0</v>
        <stp/>
        <stp>510900.SH</stp>
        <stp>Now</stp>
        <tr r="D12" s="24"/>
        <tr r="D39" s="24"/>
      </tp>
      <tp>
        <v>0</v>
        <stp/>
        <stp>000905.SH</stp>
        <stp>Now</stp>
        <tr r="L4" s="7"/>
      </tp>
      <tp>
        <v>0</v>
        <stp/>
        <stp>160922.SZ</stp>
        <stp>Now</stp>
        <tr r="D18" s="23"/>
        <tr r="D51" s="24"/>
      </tp>
      <tp>
        <v>0</v>
        <stp/>
        <stp>160924.SZ</stp>
        <stp>Now</stp>
        <tr r="D21" s="23"/>
        <tr r="D55" s="24"/>
      </tp>
      <tp>
        <v>0</v>
        <stp/>
        <stp>501301.OF</stp>
        <stp>DifferRange</stp>
        <tr r="E62" s="24"/>
      </tp>
      <tp>
        <v>0</v>
        <stp/>
        <stp>501021.OF</stp>
        <stp>DifferRange</stp>
        <tr r="E60" s="24"/>
      </tp>
      <tp>
        <v>0</v>
        <stp/>
        <stp>501023.OF</stp>
        <stp>DifferRange</stp>
        <tr r="E65" s="24"/>
      </tp>
      <tp>
        <v>0</v>
        <stp/>
        <stp>501050.OF</stp>
        <stp>DifferRange</stp>
        <tr r="E61" s="24"/>
      </tp>
      <tp>
        <v>0</v>
        <stp/>
        <stp>161124.OF</stp>
        <stp>DifferRange</stp>
        <tr r="E63" s="24"/>
      </tp>
      <tp>
        <v>0</v>
        <stp/>
        <stp>161831.SZ</stp>
        <stp>Time</stp>
        <tr r="C23" s="23"/>
        <tr r="C57" s="24"/>
      </tp>
      <tp>
        <v>0</v>
        <stp/>
        <stp>164824.SZ</stp>
        <stp>Time</stp>
        <tr r="C32" s="23"/>
      </tp>
      <tp>
        <v>0</v>
        <stp/>
        <stp>161815.SZ</stp>
        <stp>Time</stp>
        <tr r="C34" s="23"/>
      </tp>
      <tp>
        <v>0</v>
        <stp/>
        <stp>159809.SZ</stp>
        <stp>Time</stp>
        <tr r="C17" s="24"/>
      </tp>
      <tp>
        <v>0</v>
        <stp/>
        <stp>159803.SZ</stp>
        <stp>Time</stp>
        <tr r="C5" s="24"/>
      </tp>
      <tp>
        <v>0</v>
        <stp/>
        <stp>513800.SH</stp>
        <stp>Time</stp>
        <tr r="C28" s="24"/>
      </tp>
      <tp>
        <v>0</v>
        <stp/>
        <stp>513880.SH</stp>
        <stp>Time</stp>
        <tr r="C27" s="24"/>
      </tp>
      <tp>
        <v>0</v>
        <stp/>
        <stp>000300.SH</stp>
        <stp>DifferRange</stp>
        <tr r="G5" s="7"/>
      </tp>
      <tp>
        <v>0</v>
        <stp/>
        <stp>000016.SH</stp>
        <stp>DifferRange</stp>
        <tr r="B5" s="7"/>
      </tp>
      <tp>
        <v>0</v>
        <stp/>
        <stp>160125.SZ</stp>
        <stp>DifferRange</stp>
        <tr r="E54" s="24"/>
      </tp>
      <tp>
        <v>0</v>
        <stp/>
        <stp>160717.SZ</stp>
        <stp>DifferRange</stp>
        <tr r="E56" s="24"/>
      </tp>
      <tp>
        <v>0</v>
        <stp/>
        <stp>161831.OF</stp>
        <stp>Now</stp>
        <tr r="D69" s="24"/>
      </tp>
      <tp>
        <v>0</v>
        <stp/>
        <stp>000905.SH</stp>
        <stp>DifferRange</stp>
        <tr r="L5" s="7"/>
      </tp>
      <tp>
        <v>0</v>
        <stp/>
        <stp>510900.SH</stp>
        <stp>DifferRange</stp>
        <tr r="E39" s="24"/>
        <tr r="E12" s="24"/>
      </tp>
      <tp>
        <v>0</v>
        <stp/>
        <stp>160924.SZ</stp>
        <stp>DifferRange</stp>
        <tr r="E55" s="24"/>
      </tp>
      <tp>
        <v>0</v>
        <stp/>
        <stp>160922.SZ</stp>
        <stp>DifferRange</stp>
        <tr r="E51" s="24"/>
      </tp>
      <tp>
        <v>0</v>
        <stp/>
        <stp>161124.OF</stp>
        <stp>Now</stp>
        <tr r="D63" s="24"/>
      </tp>
      <tp>
        <v>0</v>
        <stp/>
        <stp>501050.OF</stp>
        <stp>Now</stp>
        <tr r="D61" s="24"/>
      </tp>
      <tp>
        <v>0</v>
        <stp/>
        <stp>501023.OF</stp>
        <stp>Now</stp>
        <tr r="D65" s="24"/>
      </tp>
      <tp>
        <v>0</v>
        <stp/>
        <stp>501021.OF</stp>
        <stp>Now</stp>
        <tr r="D60" s="24"/>
      </tp>
      <tp>
        <v>0</v>
        <stp/>
        <stp>501301.OF</stp>
        <stp>Now</stp>
        <tr r="D62" s="24"/>
      </tp>
      <tp>
        <v>0</v>
        <stp/>
        <stp>161130.SZ</stp>
        <stp>Now</stp>
        <tr r="D26" s="23"/>
      </tp>
      <tp>
        <v>0</v>
        <stp/>
        <stp>161128.SZ</stp>
        <stp>Now</stp>
        <tr r="D27" s="23"/>
      </tp>
      <tp>
        <v>0</v>
        <stp/>
        <stp>161125.SZ</stp>
        <stp>Now</stp>
        <tr r="D28" s="23"/>
      </tp>
      <tp>
        <v>0</v>
        <stp/>
        <stp>161124.SZ</stp>
        <stp>Now</stp>
        <tr r="D49" s="24"/>
        <tr r="D17" s="23"/>
      </tp>
      <tp>
        <v>0</v>
        <stp/>
        <stp>161127.SZ</stp>
        <stp>Now</stp>
        <tr r="D29" s="23"/>
      </tp>
      <tp>
        <v>0</v>
        <stp/>
        <stp>161126.SZ</stp>
        <stp>Now</stp>
        <tr r="D31" s="23"/>
      </tp>
      <tp>
        <v>0</v>
        <stp/>
        <stp>501023.SH</stp>
        <stp>Now</stp>
        <tr r="D53" s="24"/>
        <tr r="D19" s="23"/>
      </tp>
      <tp>
        <v>0</v>
        <stp/>
        <stp>501021.SH</stp>
        <stp>Now</stp>
        <tr r="D59" s="24"/>
        <tr r="D25" s="23"/>
      </tp>
      <tp>
        <v>0</v>
        <stp/>
        <stp>501050.SH</stp>
        <stp>Now</stp>
        <tr r="D45" s="24"/>
        <tr r="D16" s="23"/>
      </tp>
      <tp>
        <v>0</v>
        <stp/>
        <stp>501301.SH</stp>
        <stp>Now</stp>
        <tr r="D47" s="24"/>
      </tp>
      <tp>
        <v>0</v>
        <stp/>
        <stp>160924.OF</stp>
        <stp>DifferRange</stp>
        <tr r="E67" s="24"/>
      </tp>
      <tp>
        <v>0</v>
        <stp/>
        <stp>160922.OF</stp>
        <stp>DifferRange</stp>
        <tr r="E64" s="24"/>
      </tp>
      <tp>
        <v>0</v>
        <stp/>
        <stp>160717.OF</stp>
        <stp>DifferRange</stp>
        <tr r="E68" s="24"/>
      </tp>
      <tp>
        <v>0</v>
        <stp/>
        <stp>161815.SZ</stp>
        <stp>Now</stp>
        <tr r="D34" s="23"/>
      </tp>
      <tp>
        <v>0</v>
        <stp/>
        <stp>161831.SZ</stp>
        <stp>Now</stp>
        <tr r="D23" s="23"/>
        <tr r="D57" s="24"/>
      </tp>
      <tp>
        <v>0</v>
        <stp/>
        <stp>160125.OF</stp>
        <stp>DifferRange</stp>
        <tr r="E66" s="24"/>
      </tp>
      <tp>
        <v>0</v>
        <stp/>
        <stp>同花顺</stp>
        <stp>DifferRange</stp>
        <tr r="L11" s="24"/>
      </tp>
      <tp>
        <v>0</v>
        <stp/>
        <stp>同花顺</stp>
        <stp>Now</stp>
        <tr r="L10" s="2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astmoney\Choice\Office\Excel\EM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EM_HQ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4"/>
  <sheetViews>
    <sheetView workbookViewId="0">
      <selection activeCell="O2" sqref="O2"/>
    </sheetView>
  </sheetViews>
  <sheetFormatPr defaultColWidth="9" defaultRowHeight="13.5" x14ac:dyDescent="0.15"/>
  <cols>
    <col min="3" max="3" width="11.25" customWidth="1"/>
    <col min="5" max="5" width="9.25" customWidth="1"/>
    <col min="7" max="7" width="11" customWidth="1"/>
    <col min="10" max="10" width="10.625" customWidth="1"/>
    <col min="12" max="12" width="10.5" customWidth="1"/>
    <col min="13" max="13" width="16.375" customWidth="1"/>
    <col min="14" max="14" width="13" customWidth="1"/>
    <col min="15" max="15" width="12.375" customWidth="1"/>
  </cols>
  <sheetData>
    <row r="1" spans="1:15" ht="27" x14ac:dyDescent="0.15">
      <c r="A1" s="76" t="s">
        <v>0</v>
      </c>
      <c r="B1" s="195" t="s">
        <v>1</v>
      </c>
      <c r="C1" s="196" t="s">
        <v>2</v>
      </c>
      <c r="D1" s="197" t="s">
        <v>3</v>
      </c>
      <c r="F1" s="198" t="s">
        <v>4</v>
      </c>
      <c r="G1" s="199" t="s">
        <v>2</v>
      </c>
      <c r="H1" s="200" t="s">
        <v>3</v>
      </c>
      <c r="L1" t="s">
        <v>5</v>
      </c>
      <c r="M1" t="s">
        <v>6</v>
      </c>
      <c r="N1" s="38" t="s">
        <v>7</v>
      </c>
      <c r="O1" s="213" t="s">
        <v>8</v>
      </c>
    </row>
    <row r="2" spans="1:15" x14ac:dyDescent="0.15">
      <c r="A2">
        <f>监控!C22</f>
        <v>2009</v>
      </c>
      <c r="B2" s="136" t="e">
        <f ca="1">监控!K22</f>
        <v>#DIV/0!</v>
      </c>
      <c r="C2" s="136"/>
      <c r="D2" s="136"/>
      <c r="F2" s="136" t="e">
        <f ca="1">监控!K28</f>
        <v>#DIV/0!</v>
      </c>
      <c r="G2" s="136"/>
      <c r="H2" s="136"/>
      <c r="L2" t="s">
        <v>9</v>
      </c>
      <c r="M2" t="s">
        <v>10</v>
      </c>
      <c r="O2" s="201">
        <f>跨境!F2/10000</f>
        <v>0</v>
      </c>
    </row>
    <row r="3" spans="1:15" x14ac:dyDescent="0.15">
      <c r="A3">
        <f>监控!C23</f>
        <v>2010</v>
      </c>
      <c r="B3" s="136" t="e">
        <f ca="1">监控!K23</f>
        <v>#DIV/0!</v>
      </c>
      <c r="C3" s="136" t="e">
        <f>监控!L23</f>
        <v>#DIV/0!</v>
      </c>
      <c r="D3" s="201">
        <f>监控!M23</f>
        <v>0</v>
      </c>
      <c r="F3" s="136" t="e">
        <f ca="1">监控!K29</f>
        <v>#DIV/0!</v>
      </c>
      <c r="G3" s="136" t="e">
        <f>监控!L29</f>
        <v>#DIV/0!</v>
      </c>
      <c r="H3" s="201">
        <f>监控!M29</f>
        <v>0</v>
      </c>
      <c r="L3" t="s">
        <v>11</v>
      </c>
      <c r="M3" t="s">
        <v>12</v>
      </c>
      <c r="O3" s="201">
        <f>跨境!F3/10000</f>
        <v>0</v>
      </c>
    </row>
    <row r="4" spans="1:15" x14ac:dyDescent="0.15">
      <c r="A4">
        <f>监控!C24</f>
        <v>2012</v>
      </c>
      <c r="B4" s="136" t="e">
        <f ca="1">监控!K24</f>
        <v>#DIV/0!</v>
      </c>
      <c r="C4" s="136" t="e">
        <f>监控!L24</f>
        <v>#DIV/0!</v>
      </c>
      <c r="D4" s="202"/>
      <c r="F4" s="136" t="e">
        <f ca="1">监控!K30</f>
        <v>#DIV/0!</v>
      </c>
      <c r="G4" s="136" t="e">
        <f>监控!L30</f>
        <v>#DIV/0!</v>
      </c>
      <c r="H4" s="136"/>
      <c r="L4" t="s">
        <v>13</v>
      </c>
      <c r="M4" t="s">
        <v>10</v>
      </c>
      <c r="O4" s="201">
        <f>跨境!F4/10000</f>
        <v>0</v>
      </c>
    </row>
    <row r="5" spans="1:15" x14ac:dyDescent="0.15">
      <c r="A5">
        <f>监控!C25</f>
        <v>2103</v>
      </c>
      <c r="B5" s="136" t="e">
        <f ca="1">监控!K25</f>
        <v>#DIV/0!</v>
      </c>
      <c r="C5" s="136" t="e">
        <f>监控!L25</f>
        <v>#DIV/0!</v>
      </c>
      <c r="D5" s="202"/>
      <c r="F5" s="136" t="e">
        <f ca="1">监控!K31</f>
        <v>#DIV/0!</v>
      </c>
      <c r="G5" s="136" t="e">
        <f>监控!L31</f>
        <v>#DIV/0!</v>
      </c>
      <c r="H5" s="136"/>
      <c r="L5" t="s">
        <v>14</v>
      </c>
      <c r="M5" t="s">
        <v>15</v>
      </c>
      <c r="O5" s="201">
        <f>跨境!F5/10000</f>
        <v>0</v>
      </c>
    </row>
    <row r="6" spans="1:15" x14ac:dyDescent="0.15">
      <c r="D6" s="202"/>
      <c r="L6" t="s">
        <v>16</v>
      </c>
      <c r="M6" t="s">
        <v>17</v>
      </c>
      <c r="N6" s="202">
        <f>跨境!H6</f>
        <v>0</v>
      </c>
      <c r="O6" s="201">
        <f>跨境!F6/10000</f>
        <v>0</v>
      </c>
    </row>
    <row r="7" spans="1:15" x14ac:dyDescent="0.15">
      <c r="L7" t="s">
        <v>18</v>
      </c>
      <c r="M7" t="s">
        <v>19</v>
      </c>
      <c r="N7" s="202">
        <f>跨境!H7</f>
        <v>0</v>
      </c>
      <c r="O7" s="201">
        <f>跨境!F7/10000</f>
        <v>0</v>
      </c>
    </row>
    <row r="8" spans="1:15" x14ac:dyDescent="0.15">
      <c r="L8" t="s">
        <v>20</v>
      </c>
      <c r="M8" t="s">
        <v>17</v>
      </c>
      <c r="N8" s="202">
        <f>跨境!H8</f>
        <v>0</v>
      </c>
      <c r="O8" s="201">
        <f>跨境!F8/10000</f>
        <v>0</v>
      </c>
    </row>
    <row r="9" spans="1:15" x14ac:dyDescent="0.15">
      <c r="L9" t="s">
        <v>21</v>
      </c>
      <c r="M9" t="s">
        <v>22</v>
      </c>
      <c r="N9" s="202">
        <f>跨境!H9</f>
        <v>0</v>
      </c>
      <c r="O9" s="201">
        <f>跨境!F9/10000</f>
        <v>0</v>
      </c>
    </row>
    <row r="10" spans="1:15" ht="40.5" x14ac:dyDescent="0.15">
      <c r="A10" s="110"/>
      <c r="B10" s="110" t="s">
        <v>23</v>
      </c>
      <c r="C10" s="110" t="s">
        <v>24</v>
      </c>
      <c r="D10" s="203" t="s">
        <v>25</v>
      </c>
      <c r="E10" s="203" t="s">
        <v>26</v>
      </c>
      <c r="F10" s="204" t="s">
        <v>27</v>
      </c>
      <c r="G10" s="204" t="s">
        <v>28</v>
      </c>
      <c r="H10" s="204" t="s">
        <v>29</v>
      </c>
      <c r="L10" t="s">
        <v>30</v>
      </c>
      <c r="M10" t="s">
        <v>31</v>
      </c>
      <c r="N10" s="202">
        <f>跨境!H10</f>
        <v>0</v>
      </c>
      <c r="O10" s="201">
        <f>跨境!F10/10000</f>
        <v>0</v>
      </c>
    </row>
    <row r="11" spans="1:15" ht="14.25" x14ac:dyDescent="0.15">
      <c r="A11" s="115">
        <v>164906</v>
      </c>
      <c r="B11" s="116">
        <f>监控!B38</f>
        <v>0</v>
      </c>
      <c r="C11" s="116">
        <f>监控!C38</f>
        <v>1.79058308</v>
      </c>
      <c r="D11" s="205" t="e">
        <f>监控!H38</f>
        <v>#DIV/0!</v>
      </c>
      <c r="E11" s="205" t="e">
        <f>监控!M38</f>
        <v>#DIV/0!</v>
      </c>
      <c r="F11" s="206">
        <f>监控!N38</f>
        <v>0</v>
      </c>
      <c r="G11" s="206">
        <f>监控!O38</f>
        <v>0</v>
      </c>
      <c r="H11" s="206">
        <f>监控!P38</f>
        <v>0</v>
      </c>
      <c r="L11" t="s">
        <v>32</v>
      </c>
      <c r="M11" t="s">
        <v>33</v>
      </c>
      <c r="N11" s="202">
        <f>跨境!H11</f>
        <v>0</v>
      </c>
      <c r="O11" s="201">
        <f>跨境!F11/10000</f>
        <v>0</v>
      </c>
    </row>
    <row r="12" spans="1:15" ht="14.25" x14ac:dyDescent="0.15">
      <c r="A12" s="115">
        <v>513050</v>
      </c>
      <c r="B12" s="116">
        <f>监控!B39</f>
        <v>0</v>
      </c>
      <c r="C12" s="116">
        <f>监控!C39</f>
        <v>1.9507249369999999</v>
      </c>
      <c r="D12" s="205" t="e">
        <f>监控!H39</f>
        <v>#DIV/0!</v>
      </c>
      <c r="E12" s="205" t="e">
        <f>监控!M39</f>
        <v>#DIV/0!</v>
      </c>
      <c r="F12" s="116"/>
      <c r="G12" s="116"/>
      <c r="H12" s="116"/>
      <c r="L12" t="s">
        <v>34</v>
      </c>
      <c r="M12" t="s">
        <v>22</v>
      </c>
      <c r="N12" s="202">
        <f>跨境!H12</f>
        <v>0</v>
      </c>
      <c r="O12" s="201">
        <f>跨境!F12/10000</f>
        <v>0</v>
      </c>
    </row>
    <row r="13" spans="1:15" ht="14.25" x14ac:dyDescent="0.15">
      <c r="A13" s="122"/>
      <c r="B13" s="122"/>
      <c r="C13" s="123" t="s">
        <v>35</v>
      </c>
      <c r="D13" s="205" t="e">
        <f>监控!H40</f>
        <v>#DIV/0!</v>
      </c>
      <c r="E13" s="207"/>
      <c r="L13" t="s">
        <v>36</v>
      </c>
      <c r="M13" t="s">
        <v>37</v>
      </c>
      <c r="N13" s="202">
        <f>跨境!H13</f>
        <v>0</v>
      </c>
      <c r="O13" s="201">
        <f>跨境!F13/10000</f>
        <v>0</v>
      </c>
    </row>
    <row r="14" spans="1:15" x14ac:dyDescent="0.15">
      <c r="B14" s="38"/>
      <c r="C14" s="38"/>
      <c r="L14" t="s">
        <v>38</v>
      </c>
      <c r="M14" t="s">
        <v>39</v>
      </c>
      <c r="N14" s="202">
        <f>跨境!H14</f>
        <v>0</v>
      </c>
      <c r="O14" s="201">
        <f>跨境!F14/10000</f>
        <v>0</v>
      </c>
    </row>
    <row r="15" spans="1:15" x14ac:dyDescent="0.15">
      <c r="A15" s="208" t="s">
        <v>5</v>
      </c>
      <c r="B15" s="208" t="s">
        <v>6</v>
      </c>
      <c r="C15" s="209" t="s">
        <v>40</v>
      </c>
      <c r="D15" s="208" t="s">
        <v>41</v>
      </c>
      <c r="E15" s="208" t="s">
        <v>42</v>
      </c>
      <c r="F15" s="208" t="s">
        <v>43</v>
      </c>
      <c r="G15" s="208" t="s">
        <v>44</v>
      </c>
      <c r="H15" s="208" t="s">
        <v>45</v>
      </c>
      <c r="I15" s="208" t="s">
        <v>46</v>
      </c>
      <c r="J15" s="208" t="s">
        <v>7</v>
      </c>
      <c r="L15" t="s">
        <v>47</v>
      </c>
      <c r="M15" t="s">
        <v>48</v>
      </c>
      <c r="N15" s="202">
        <f>跨境!H15</f>
        <v>0</v>
      </c>
      <c r="O15" s="201">
        <f>跨境!F15/10000</f>
        <v>0</v>
      </c>
    </row>
    <row r="16" spans="1:15" x14ac:dyDescent="0.15">
      <c r="A16" s="208" t="s">
        <v>49</v>
      </c>
      <c r="B16" s="37" t="s">
        <v>50</v>
      </c>
      <c r="C16" s="210">
        <f t="shared" ref="C16:C34" si="0">RTD("em.rtq",,A16,"Time")</f>
        <v>0</v>
      </c>
      <c r="D16" s="37">
        <f t="shared" ref="D16:D34" si="1">RTD("em.rtq",,A16,"Now")</f>
        <v>0</v>
      </c>
      <c r="E16" s="211">
        <f>跨境!F45/10000</f>
        <v>0</v>
      </c>
      <c r="F16" s="37">
        <f t="shared" ref="F16:F34" si="2">RTD("em.rtq",,A16,"BuyPrice1")</f>
        <v>0</v>
      </c>
      <c r="G16" s="212">
        <f t="shared" ref="G16:G34" si="3">RTD("em.rtq",,A16,"BuyVolume1")</f>
        <v>0</v>
      </c>
      <c r="H16" s="37">
        <f t="shared" ref="H16:H34" si="4">RTD("em.rtq",,A16,"SellPrice1")</f>
        <v>0</v>
      </c>
      <c r="I16" s="212">
        <f t="shared" ref="I16:I34" si="5">RTD("em.rtq",,A16,"SellVolume1")</f>
        <v>0</v>
      </c>
      <c r="J16" s="214" t="e">
        <f>跨境!O45</f>
        <v>#DIV/0!</v>
      </c>
      <c r="L16" t="s">
        <v>51</v>
      </c>
      <c r="M16" t="s">
        <v>52</v>
      </c>
      <c r="N16" s="202">
        <f>跨境!H16</f>
        <v>0</v>
      </c>
      <c r="O16" s="201">
        <f>跨境!F16/10000</f>
        <v>0</v>
      </c>
    </row>
    <row r="17" spans="1:15" x14ac:dyDescent="0.15">
      <c r="A17" s="208" t="s">
        <v>53</v>
      </c>
      <c r="B17" s="37" t="s">
        <v>54</v>
      </c>
      <c r="C17" s="210">
        <f t="shared" si="0"/>
        <v>0</v>
      </c>
      <c r="D17" s="37">
        <f t="shared" si="1"/>
        <v>0</v>
      </c>
      <c r="E17" s="212">
        <f>跨境!F49/10000</f>
        <v>0</v>
      </c>
      <c r="F17" s="37">
        <f t="shared" si="2"/>
        <v>0</v>
      </c>
      <c r="G17" s="212">
        <f t="shared" si="3"/>
        <v>0</v>
      </c>
      <c r="H17" s="37">
        <f t="shared" si="4"/>
        <v>0</v>
      </c>
      <c r="I17" s="212">
        <f t="shared" si="5"/>
        <v>0</v>
      </c>
      <c r="J17" s="214" t="e">
        <f>跨境!O49</f>
        <v>#DIV/0!</v>
      </c>
      <c r="L17" t="s">
        <v>55</v>
      </c>
      <c r="M17" t="s">
        <v>56</v>
      </c>
      <c r="N17" s="202">
        <f>跨境!H17</f>
        <v>0</v>
      </c>
      <c r="O17" s="201">
        <f>跨境!F17/10000</f>
        <v>0</v>
      </c>
    </row>
    <row r="18" spans="1:15" x14ac:dyDescent="0.15">
      <c r="A18" s="208" t="s">
        <v>57</v>
      </c>
      <c r="B18" s="37" t="s">
        <v>58</v>
      </c>
      <c r="C18" s="210">
        <f t="shared" si="0"/>
        <v>0</v>
      </c>
      <c r="D18" s="37">
        <f t="shared" si="1"/>
        <v>0</v>
      </c>
      <c r="E18" s="212">
        <f>跨境!F51/10000</f>
        <v>0</v>
      </c>
      <c r="F18" s="37">
        <f t="shared" si="2"/>
        <v>0</v>
      </c>
      <c r="G18" s="212">
        <f t="shared" si="3"/>
        <v>0</v>
      </c>
      <c r="H18" s="37">
        <f t="shared" si="4"/>
        <v>0</v>
      </c>
      <c r="I18" s="212">
        <f t="shared" si="5"/>
        <v>0</v>
      </c>
      <c r="J18" s="214" t="e">
        <f>跨境!O51</f>
        <v>#DIV/0!</v>
      </c>
      <c r="L18" t="s">
        <v>59</v>
      </c>
      <c r="M18" t="s">
        <v>60</v>
      </c>
      <c r="N18" s="202">
        <f>跨境!H18</f>
        <v>0</v>
      </c>
      <c r="O18" s="201">
        <f>跨境!F18/10000</f>
        <v>0</v>
      </c>
    </row>
    <row r="19" spans="1:15" x14ac:dyDescent="0.15">
      <c r="A19" s="208" t="s">
        <v>61</v>
      </c>
      <c r="B19" s="37" t="s">
        <v>62</v>
      </c>
      <c r="C19" s="210">
        <f t="shared" si="0"/>
        <v>0</v>
      </c>
      <c r="D19" s="37">
        <f t="shared" si="1"/>
        <v>0</v>
      </c>
      <c r="E19" s="212">
        <f>跨境!F53/10000</f>
        <v>0</v>
      </c>
      <c r="F19" s="37">
        <f t="shared" si="2"/>
        <v>0</v>
      </c>
      <c r="G19" s="212">
        <f t="shared" si="3"/>
        <v>0</v>
      </c>
      <c r="H19" s="37">
        <f t="shared" si="4"/>
        <v>0</v>
      </c>
      <c r="I19" s="212">
        <f t="shared" si="5"/>
        <v>0</v>
      </c>
      <c r="J19" s="214" t="e">
        <f>跨境!O53</f>
        <v>#DIV/0!</v>
      </c>
      <c r="L19" t="s">
        <v>63</v>
      </c>
      <c r="M19" t="s">
        <v>64</v>
      </c>
      <c r="N19" s="202">
        <f>跨境!H19</f>
        <v>0</v>
      </c>
      <c r="O19" s="201">
        <f>跨境!F19/10000</f>
        <v>0</v>
      </c>
    </row>
    <row r="20" spans="1:15" x14ac:dyDescent="0.15">
      <c r="A20" s="208" t="s">
        <v>65</v>
      </c>
      <c r="B20" s="37" t="s">
        <v>66</v>
      </c>
      <c r="C20" s="210">
        <f t="shared" si="0"/>
        <v>0</v>
      </c>
      <c r="D20" s="37">
        <f t="shared" si="1"/>
        <v>0</v>
      </c>
      <c r="E20" s="212">
        <f>跨境!F54/10000</f>
        <v>0</v>
      </c>
      <c r="F20" s="37">
        <f t="shared" si="2"/>
        <v>0</v>
      </c>
      <c r="G20" s="212">
        <f t="shared" si="3"/>
        <v>0</v>
      </c>
      <c r="H20" s="37">
        <f t="shared" si="4"/>
        <v>0</v>
      </c>
      <c r="I20" s="212">
        <f t="shared" si="5"/>
        <v>0</v>
      </c>
      <c r="J20" s="214" t="e">
        <f>跨境!O54</f>
        <v>#DIV/0!</v>
      </c>
      <c r="L20" t="s">
        <v>67</v>
      </c>
      <c r="M20" t="s">
        <v>68</v>
      </c>
      <c r="N20" s="202">
        <f>跨境!H20</f>
        <v>0</v>
      </c>
      <c r="O20" s="201">
        <f>跨境!F20/10000</f>
        <v>0</v>
      </c>
    </row>
    <row r="21" spans="1:15" x14ac:dyDescent="0.15">
      <c r="A21" s="208" t="s">
        <v>69</v>
      </c>
      <c r="B21" s="37" t="s">
        <v>70</v>
      </c>
      <c r="C21" s="210">
        <f t="shared" si="0"/>
        <v>0</v>
      </c>
      <c r="D21" s="37">
        <f t="shared" si="1"/>
        <v>0</v>
      </c>
      <c r="E21" s="212">
        <f>跨境!F55/10000</f>
        <v>0</v>
      </c>
      <c r="F21" s="37">
        <f t="shared" si="2"/>
        <v>0</v>
      </c>
      <c r="G21" s="212">
        <f t="shared" si="3"/>
        <v>0</v>
      </c>
      <c r="H21" s="37">
        <f t="shared" si="4"/>
        <v>0</v>
      </c>
      <c r="I21" s="212">
        <f t="shared" si="5"/>
        <v>0</v>
      </c>
      <c r="J21" s="214" t="e">
        <f>跨境!O55</f>
        <v>#DIV/0!</v>
      </c>
      <c r="L21" t="s">
        <v>71</v>
      </c>
      <c r="M21" t="s">
        <v>72</v>
      </c>
      <c r="N21" s="202">
        <f>跨境!H21</f>
        <v>0</v>
      </c>
      <c r="O21" s="201">
        <f>跨境!F21/10000</f>
        <v>0</v>
      </c>
    </row>
    <row r="22" spans="1:15" x14ac:dyDescent="0.15">
      <c r="A22" s="208" t="s">
        <v>73</v>
      </c>
      <c r="B22" s="37" t="s">
        <v>74</v>
      </c>
      <c r="C22" s="210">
        <f t="shared" si="0"/>
        <v>0</v>
      </c>
      <c r="D22" s="37">
        <f t="shared" si="1"/>
        <v>0</v>
      </c>
      <c r="E22" s="212">
        <f>跨境!F56/10000</f>
        <v>0</v>
      </c>
      <c r="F22" s="37">
        <f t="shared" si="2"/>
        <v>0</v>
      </c>
      <c r="G22" s="212">
        <f t="shared" si="3"/>
        <v>0</v>
      </c>
      <c r="H22" s="37">
        <f t="shared" si="4"/>
        <v>0</v>
      </c>
      <c r="I22" s="212">
        <f t="shared" si="5"/>
        <v>0</v>
      </c>
      <c r="J22" s="214" t="e">
        <f>跨境!O56</f>
        <v>#DIV/0!</v>
      </c>
      <c r="L22" t="s">
        <v>75</v>
      </c>
      <c r="M22" t="s">
        <v>76</v>
      </c>
      <c r="N22" s="202">
        <f>跨境!H22</f>
        <v>0</v>
      </c>
      <c r="O22" s="201">
        <f>跨境!F22/10000</f>
        <v>0</v>
      </c>
    </row>
    <row r="23" spans="1:15" x14ac:dyDescent="0.15">
      <c r="A23" s="208" t="s">
        <v>77</v>
      </c>
      <c r="B23" s="37" t="s">
        <v>78</v>
      </c>
      <c r="C23" s="210">
        <f t="shared" si="0"/>
        <v>0</v>
      </c>
      <c r="D23" s="37">
        <f t="shared" si="1"/>
        <v>0</v>
      </c>
      <c r="E23" s="212">
        <f>跨境!F57/10000</f>
        <v>0</v>
      </c>
      <c r="F23" s="37">
        <f t="shared" si="2"/>
        <v>0</v>
      </c>
      <c r="G23" s="212">
        <f t="shared" si="3"/>
        <v>0</v>
      </c>
      <c r="H23" s="37">
        <f t="shared" si="4"/>
        <v>0</v>
      </c>
      <c r="I23" s="212">
        <f t="shared" si="5"/>
        <v>0</v>
      </c>
      <c r="J23" s="214" t="e">
        <f>跨境!O57</f>
        <v>#DIV/0!</v>
      </c>
      <c r="L23" t="s">
        <v>79</v>
      </c>
      <c r="M23" t="s">
        <v>80</v>
      </c>
      <c r="O23" s="201">
        <f>跨境!F23/10000</f>
        <v>0</v>
      </c>
    </row>
    <row r="24" spans="1:15" x14ac:dyDescent="0.15">
      <c r="A24" s="208" t="s">
        <v>81</v>
      </c>
      <c r="B24" s="37" t="s">
        <v>82</v>
      </c>
      <c r="C24" s="210">
        <f t="shared" si="0"/>
        <v>0</v>
      </c>
      <c r="D24" s="37">
        <f t="shared" si="1"/>
        <v>0</v>
      </c>
      <c r="E24" s="212">
        <f>跨境!F58/10000</f>
        <v>0</v>
      </c>
      <c r="F24" s="37">
        <f t="shared" si="2"/>
        <v>0</v>
      </c>
      <c r="G24" s="212">
        <f t="shared" si="3"/>
        <v>0</v>
      </c>
      <c r="H24" s="37">
        <f t="shared" si="4"/>
        <v>0</v>
      </c>
      <c r="I24" s="212">
        <f t="shared" si="5"/>
        <v>0</v>
      </c>
      <c r="J24" s="214" t="e">
        <f>跨境!O58</f>
        <v>#DIV/0!</v>
      </c>
      <c r="L24" t="s">
        <v>83</v>
      </c>
      <c r="M24" t="s">
        <v>84</v>
      </c>
      <c r="O24" s="201">
        <f>跨境!F24/10000</f>
        <v>0</v>
      </c>
    </row>
    <row r="25" spans="1:15" x14ac:dyDescent="0.15">
      <c r="A25" s="208" t="s">
        <v>85</v>
      </c>
      <c r="B25" s="37" t="s">
        <v>86</v>
      </c>
      <c r="C25" s="210">
        <f t="shared" si="0"/>
        <v>0</v>
      </c>
      <c r="D25" s="37">
        <f t="shared" si="1"/>
        <v>0</v>
      </c>
      <c r="E25" s="212">
        <f>跨境!F59/10000</f>
        <v>0</v>
      </c>
      <c r="F25" s="37">
        <f t="shared" si="2"/>
        <v>0</v>
      </c>
      <c r="G25" s="212">
        <f t="shared" si="3"/>
        <v>0</v>
      </c>
      <c r="H25" s="37">
        <f t="shared" si="4"/>
        <v>0</v>
      </c>
      <c r="I25" s="212">
        <f t="shared" si="5"/>
        <v>0</v>
      </c>
      <c r="J25" s="214" t="e">
        <f>跨境!O59</f>
        <v>#DIV/0!</v>
      </c>
      <c r="L25" t="s">
        <v>87</v>
      </c>
      <c r="M25" t="s">
        <v>88</v>
      </c>
      <c r="O25" s="201">
        <f>跨境!F25/10000</f>
        <v>0</v>
      </c>
    </row>
    <row r="26" spans="1:15" x14ac:dyDescent="0.15">
      <c r="A26" s="208" t="s">
        <v>89</v>
      </c>
      <c r="B26" s="37" t="s">
        <v>90</v>
      </c>
      <c r="C26" s="210">
        <f t="shared" si="0"/>
        <v>0</v>
      </c>
      <c r="D26" s="37">
        <f t="shared" si="1"/>
        <v>0</v>
      </c>
      <c r="E26" s="212">
        <f t="shared" ref="E26:E34" si="6">RTD("em.rtq",,A26,"Amount")</f>
        <v>0</v>
      </c>
      <c r="F26" s="37">
        <f t="shared" si="2"/>
        <v>0</v>
      </c>
      <c r="G26" s="212">
        <f t="shared" si="3"/>
        <v>0</v>
      </c>
      <c r="H26" s="37">
        <f t="shared" si="4"/>
        <v>0</v>
      </c>
      <c r="I26" s="212">
        <f t="shared" si="5"/>
        <v>0</v>
      </c>
      <c r="J26" s="214"/>
      <c r="L26" t="s">
        <v>91</v>
      </c>
      <c r="M26" t="s">
        <v>92</v>
      </c>
      <c r="O26" s="201">
        <f>跨境!F26/10000</f>
        <v>0</v>
      </c>
    </row>
    <row r="27" spans="1:15" x14ac:dyDescent="0.15">
      <c r="A27" s="208" t="s">
        <v>93</v>
      </c>
      <c r="B27" s="37" t="s">
        <v>94</v>
      </c>
      <c r="C27" s="210">
        <f t="shared" si="0"/>
        <v>0</v>
      </c>
      <c r="D27" s="37">
        <f t="shared" si="1"/>
        <v>0</v>
      </c>
      <c r="E27" s="212">
        <f t="shared" si="6"/>
        <v>0</v>
      </c>
      <c r="F27" s="37">
        <f t="shared" si="2"/>
        <v>0</v>
      </c>
      <c r="G27" s="212">
        <f t="shared" si="3"/>
        <v>0</v>
      </c>
      <c r="H27" s="37">
        <f t="shared" si="4"/>
        <v>0</v>
      </c>
      <c r="I27" s="212">
        <f t="shared" si="5"/>
        <v>0</v>
      </c>
      <c r="J27" s="215"/>
      <c r="L27" t="s">
        <v>95</v>
      </c>
      <c r="M27" t="s">
        <v>96</v>
      </c>
      <c r="O27" s="201">
        <f>跨境!F27/10000</f>
        <v>0</v>
      </c>
    </row>
    <row r="28" spans="1:15" x14ac:dyDescent="0.15">
      <c r="A28" s="208" t="s">
        <v>97</v>
      </c>
      <c r="B28" s="37" t="s">
        <v>98</v>
      </c>
      <c r="C28" s="210">
        <f t="shared" si="0"/>
        <v>0</v>
      </c>
      <c r="D28" s="37">
        <f t="shared" si="1"/>
        <v>0</v>
      </c>
      <c r="E28" s="212">
        <f t="shared" si="6"/>
        <v>0</v>
      </c>
      <c r="F28" s="37">
        <f t="shared" si="2"/>
        <v>0</v>
      </c>
      <c r="G28" s="212">
        <f t="shared" si="3"/>
        <v>0</v>
      </c>
      <c r="H28" s="37">
        <f t="shared" si="4"/>
        <v>0</v>
      </c>
      <c r="I28" s="212">
        <f t="shared" si="5"/>
        <v>0</v>
      </c>
      <c r="J28" s="215"/>
      <c r="L28" t="s">
        <v>99</v>
      </c>
      <c r="M28" t="s">
        <v>100</v>
      </c>
      <c r="O28" s="201">
        <f>跨境!F28/10000</f>
        <v>0</v>
      </c>
    </row>
    <row r="29" spans="1:15" x14ac:dyDescent="0.15">
      <c r="A29" s="208" t="s">
        <v>101</v>
      </c>
      <c r="B29" s="37" t="s">
        <v>102</v>
      </c>
      <c r="C29" s="210">
        <f t="shared" si="0"/>
        <v>0</v>
      </c>
      <c r="D29" s="37">
        <f t="shared" si="1"/>
        <v>0</v>
      </c>
      <c r="E29" s="212">
        <f t="shared" si="6"/>
        <v>0</v>
      </c>
      <c r="F29" s="37">
        <f t="shared" si="2"/>
        <v>0</v>
      </c>
      <c r="G29" s="212">
        <f t="shared" si="3"/>
        <v>0</v>
      </c>
      <c r="H29" s="37">
        <f t="shared" si="4"/>
        <v>0</v>
      </c>
      <c r="I29" s="212">
        <f t="shared" si="5"/>
        <v>0</v>
      </c>
      <c r="J29" s="215"/>
    </row>
    <row r="30" spans="1:15" x14ac:dyDescent="0.15">
      <c r="A30" s="208" t="s">
        <v>103</v>
      </c>
      <c r="B30" s="37" t="s">
        <v>104</v>
      </c>
      <c r="C30" s="210">
        <f t="shared" si="0"/>
        <v>0</v>
      </c>
      <c r="D30" s="37">
        <f t="shared" si="1"/>
        <v>0</v>
      </c>
      <c r="E30" s="212">
        <f t="shared" si="6"/>
        <v>0</v>
      </c>
      <c r="F30" s="37">
        <f t="shared" si="2"/>
        <v>0</v>
      </c>
      <c r="G30" s="212">
        <f t="shared" si="3"/>
        <v>0</v>
      </c>
      <c r="H30" s="37">
        <f t="shared" si="4"/>
        <v>0</v>
      </c>
      <c r="I30" s="212">
        <f t="shared" si="5"/>
        <v>0</v>
      </c>
      <c r="J30" s="215"/>
    </row>
    <row r="31" spans="1:15" x14ac:dyDescent="0.15">
      <c r="A31" s="208" t="s">
        <v>105</v>
      </c>
      <c r="B31" s="37" t="s">
        <v>106</v>
      </c>
      <c r="C31" s="210">
        <f t="shared" si="0"/>
        <v>0</v>
      </c>
      <c r="D31" s="37">
        <f t="shared" si="1"/>
        <v>0</v>
      </c>
      <c r="E31" s="212">
        <f t="shared" si="6"/>
        <v>0</v>
      </c>
      <c r="F31" s="37">
        <f t="shared" si="2"/>
        <v>0</v>
      </c>
      <c r="G31" s="212">
        <f t="shared" si="3"/>
        <v>0</v>
      </c>
      <c r="H31" s="37">
        <f t="shared" si="4"/>
        <v>0</v>
      </c>
      <c r="I31" s="212">
        <f t="shared" si="5"/>
        <v>0</v>
      </c>
      <c r="J31" s="215"/>
    </row>
    <row r="32" spans="1:15" x14ac:dyDescent="0.15">
      <c r="A32" s="208" t="s">
        <v>107</v>
      </c>
      <c r="B32" s="37" t="s">
        <v>108</v>
      </c>
      <c r="C32" s="210">
        <f t="shared" si="0"/>
        <v>0</v>
      </c>
      <c r="D32" s="37">
        <f t="shared" si="1"/>
        <v>0</v>
      </c>
      <c r="E32" s="212">
        <f t="shared" si="6"/>
        <v>0</v>
      </c>
      <c r="F32" s="37">
        <f t="shared" si="2"/>
        <v>0</v>
      </c>
      <c r="G32" s="212">
        <f t="shared" si="3"/>
        <v>0</v>
      </c>
      <c r="H32" s="37">
        <f t="shared" si="4"/>
        <v>0</v>
      </c>
      <c r="I32" s="212">
        <f t="shared" si="5"/>
        <v>0</v>
      </c>
      <c r="J32" s="215"/>
    </row>
    <row r="33" spans="1:10" x14ac:dyDescent="0.15">
      <c r="A33" s="208" t="s">
        <v>109</v>
      </c>
      <c r="B33" s="37" t="s">
        <v>110</v>
      </c>
      <c r="C33" s="210">
        <f t="shared" si="0"/>
        <v>0</v>
      </c>
      <c r="D33" s="37">
        <f t="shared" si="1"/>
        <v>0</v>
      </c>
      <c r="E33" s="212">
        <f t="shared" si="6"/>
        <v>0</v>
      </c>
      <c r="F33" s="37">
        <f t="shared" si="2"/>
        <v>0</v>
      </c>
      <c r="G33" s="212">
        <f t="shared" si="3"/>
        <v>0</v>
      </c>
      <c r="H33" s="37">
        <f t="shared" si="4"/>
        <v>0</v>
      </c>
      <c r="I33" s="212">
        <f t="shared" si="5"/>
        <v>0</v>
      </c>
      <c r="J33" s="215"/>
    </row>
    <row r="34" spans="1:10" x14ac:dyDescent="0.15">
      <c r="A34" s="208" t="s">
        <v>111</v>
      </c>
      <c r="B34" s="37" t="s">
        <v>112</v>
      </c>
      <c r="C34" s="210">
        <f t="shared" si="0"/>
        <v>0</v>
      </c>
      <c r="D34" s="37">
        <f t="shared" si="1"/>
        <v>0</v>
      </c>
      <c r="E34" s="212">
        <f t="shared" si="6"/>
        <v>0</v>
      </c>
      <c r="F34" s="37">
        <f t="shared" si="2"/>
        <v>0</v>
      </c>
      <c r="G34" s="212">
        <f t="shared" si="3"/>
        <v>0</v>
      </c>
      <c r="H34" s="37">
        <f t="shared" si="4"/>
        <v>0</v>
      </c>
      <c r="I34" s="212">
        <f t="shared" si="5"/>
        <v>0</v>
      </c>
      <c r="J34" s="215"/>
    </row>
  </sheetData>
  <phoneticPr fontId="30" type="noConversion"/>
  <conditionalFormatting sqref="D3">
    <cfRule type="cellIs" dxfId="7" priority="7" operator="lessThan">
      <formula>-29</formula>
    </cfRule>
  </conditionalFormatting>
  <conditionalFormatting sqref="H3">
    <cfRule type="cellIs" dxfId="6" priority="6" operator="lessThan">
      <formula>-79</formula>
    </cfRule>
  </conditionalFormatting>
  <conditionalFormatting sqref="D13">
    <cfRule type="cellIs" dxfId="5" priority="1" operator="lessThan">
      <formula>-0.009</formula>
    </cfRule>
    <cfRule type="cellIs" dxfId="4" priority="2" operator="greaterThan">
      <formula>-0.001</formula>
    </cfRule>
  </conditionalFormatting>
  <conditionalFormatting sqref="D11:D12">
    <cfRule type="cellIs" dxfId="3" priority="3" operator="greaterThan">
      <formula>0.004</formula>
    </cfRule>
    <cfRule type="cellIs" dxfId="2" priority="4" operator="lessThan">
      <formula>-0.009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C156"/>
  <sheetViews>
    <sheetView topLeftCell="A37" workbookViewId="0">
      <selection activeCell="H69" sqref="H69"/>
    </sheetView>
  </sheetViews>
  <sheetFormatPr defaultColWidth="9" defaultRowHeight="13.5" x14ac:dyDescent="0.15"/>
  <cols>
    <col min="1" max="1" width="11.5" customWidth="1"/>
    <col min="2" max="2" width="10.125" customWidth="1"/>
    <col min="3" max="3" width="12.375" customWidth="1"/>
    <col min="4" max="4" width="8.75" customWidth="1"/>
    <col min="5" max="6" width="10.125" customWidth="1"/>
    <col min="7" max="7" width="11.875" customWidth="1"/>
    <col min="8" max="8" width="9.875" customWidth="1"/>
    <col min="9" max="9" width="9" customWidth="1"/>
    <col min="10" max="10" width="9.375" customWidth="1"/>
    <col min="11" max="11" width="8.375" customWidth="1"/>
    <col min="12" max="12" width="9.25" customWidth="1"/>
    <col min="13" max="13" width="10.125" customWidth="1"/>
    <col min="14" max="14" width="10.875" customWidth="1"/>
    <col min="15" max="15" width="7.25" customWidth="1"/>
    <col min="16" max="17" width="8.375" customWidth="1"/>
    <col min="18" max="18" width="8.625" customWidth="1"/>
    <col min="20" max="20" width="7.75" customWidth="1"/>
    <col min="21" max="21" width="7.375" customWidth="1"/>
    <col min="22" max="22" width="7" customWidth="1"/>
    <col min="23" max="23" width="8.5" customWidth="1"/>
    <col min="24" max="25" width="7" customWidth="1"/>
  </cols>
  <sheetData>
    <row r="1" spans="1:16" x14ac:dyDescent="0.15">
      <c r="A1" s="24" t="s">
        <v>5</v>
      </c>
      <c r="B1" s="24" t="s">
        <v>113</v>
      </c>
      <c r="C1" s="24" t="s">
        <v>114</v>
      </c>
      <c r="D1" s="24" t="s">
        <v>115</v>
      </c>
      <c r="E1" s="24" t="s">
        <v>116</v>
      </c>
      <c r="F1" s="24" t="s">
        <v>117</v>
      </c>
      <c r="G1" s="24" t="s">
        <v>118</v>
      </c>
      <c r="H1" s="24" t="s">
        <v>119</v>
      </c>
      <c r="I1" s="24" t="s">
        <v>120</v>
      </c>
      <c r="J1" s="24" t="s">
        <v>121</v>
      </c>
      <c r="K1" s="24" t="s">
        <v>122</v>
      </c>
      <c r="L1" s="24" t="s">
        <v>123</v>
      </c>
      <c r="M1" s="24" t="s">
        <v>124</v>
      </c>
      <c r="N1" s="24" t="s">
        <v>125</v>
      </c>
      <c r="O1" s="24" t="s">
        <v>126</v>
      </c>
      <c r="P1" s="24" t="s">
        <v>127</v>
      </c>
    </row>
    <row r="2" spans="1:16" x14ac:dyDescent="0.15">
      <c r="A2" s="24" t="s">
        <v>6</v>
      </c>
      <c r="B2" s="78" t="s">
        <v>128</v>
      </c>
      <c r="C2" s="24" t="s">
        <v>129</v>
      </c>
      <c r="D2" s="24" t="s">
        <v>130</v>
      </c>
      <c r="E2" s="24" t="s">
        <v>131</v>
      </c>
      <c r="F2" s="24" t="s">
        <v>132</v>
      </c>
      <c r="G2" s="78" t="s">
        <v>133</v>
      </c>
      <c r="H2" s="24" t="s">
        <v>134</v>
      </c>
      <c r="I2" s="24" t="s">
        <v>135</v>
      </c>
      <c r="J2" s="24" t="s">
        <v>136</v>
      </c>
      <c r="K2" s="24" t="s">
        <v>137</v>
      </c>
      <c r="L2" s="78" t="s">
        <v>138</v>
      </c>
      <c r="M2" s="24" t="s">
        <v>139</v>
      </c>
      <c r="N2" s="24" t="s">
        <v>140</v>
      </c>
      <c r="O2" s="24" t="s">
        <v>141</v>
      </c>
      <c r="P2" s="24" t="s">
        <v>142</v>
      </c>
    </row>
    <row r="3" spans="1:16" x14ac:dyDescent="0.15">
      <c r="A3" s="26" t="s">
        <v>40</v>
      </c>
      <c r="B3" s="27">
        <f t="shared" ref="B3:P3" si="0">RTD("em.rtq",,B1,"Time")</f>
        <v>0</v>
      </c>
      <c r="C3" s="27">
        <f t="shared" si="0"/>
        <v>0</v>
      </c>
      <c r="D3" s="27">
        <f t="shared" si="0"/>
        <v>0</v>
      </c>
      <c r="E3" s="27">
        <f t="shared" si="0"/>
        <v>0</v>
      </c>
      <c r="F3" s="27">
        <f t="shared" si="0"/>
        <v>0</v>
      </c>
      <c r="G3" s="27">
        <f t="shared" si="0"/>
        <v>0</v>
      </c>
      <c r="H3" s="27">
        <f t="shared" si="0"/>
        <v>0</v>
      </c>
      <c r="I3" s="27">
        <f t="shared" si="0"/>
        <v>0</v>
      </c>
      <c r="J3" s="27">
        <f t="shared" si="0"/>
        <v>0</v>
      </c>
      <c r="K3" s="27">
        <f t="shared" si="0"/>
        <v>0</v>
      </c>
      <c r="L3" s="27">
        <f t="shared" si="0"/>
        <v>0</v>
      </c>
      <c r="M3" s="27">
        <f t="shared" si="0"/>
        <v>0</v>
      </c>
      <c r="N3" s="27">
        <f t="shared" si="0"/>
        <v>0</v>
      </c>
      <c r="O3" s="27">
        <f t="shared" si="0"/>
        <v>0</v>
      </c>
      <c r="P3" s="27">
        <f t="shared" si="0"/>
        <v>0</v>
      </c>
    </row>
    <row r="4" spans="1:16" x14ac:dyDescent="0.15">
      <c r="A4" s="26" t="s">
        <v>41</v>
      </c>
      <c r="B4" s="79">
        <f t="shared" ref="B4:P4" si="1">RTD("em.rtq",,B1,"Now")</f>
        <v>0</v>
      </c>
      <c r="C4" s="79">
        <f t="shared" si="1"/>
        <v>0</v>
      </c>
      <c r="D4" s="79">
        <f t="shared" si="1"/>
        <v>0</v>
      </c>
      <c r="E4" s="79">
        <f t="shared" si="1"/>
        <v>0</v>
      </c>
      <c r="F4" s="79">
        <f t="shared" si="1"/>
        <v>0</v>
      </c>
      <c r="G4" s="79">
        <f t="shared" si="1"/>
        <v>0</v>
      </c>
      <c r="H4" s="79">
        <f t="shared" si="1"/>
        <v>0</v>
      </c>
      <c r="I4" s="79">
        <f t="shared" si="1"/>
        <v>0</v>
      </c>
      <c r="J4" s="79">
        <f t="shared" si="1"/>
        <v>0</v>
      </c>
      <c r="K4" s="79">
        <f t="shared" si="1"/>
        <v>0</v>
      </c>
      <c r="L4" s="79">
        <f t="shared" si="1"/>
        <v>0</v>
      </c>
      <c r="M4" s="79">
        <f t="shared" si="1"/>
        <v>0</v>
      </c>
      <c r="N4" s="79">
        <f t="shared" si="1"/>
        <v>0</v>
      </c>
      <c r="O4" s="79">
        <f t="shared" si="1"/>
        <v>0</v>
      </c>
      <c r="P4" s="79">
        <f t="shared" si="1"/>
        <v>0</v>
      </c>
    </row>
    <row r="5" spans="1:16" x14ac:dyDescent="0.15">
      <c r="A5" s="26" t="s">
        <v>143</v>
      </c>
      <c r="B5" s="63">
        <f t="shared" ref="B5:P5" si="2">RTD("em.rtq",,B1,"DifferRange")</f>
        <v>0</v>
      </c>
      <c r="C5" s="63">
        <f t="shared" si="2"/>
        <v>0</v>
      </c>
      <c r="D5" s="63">
        <f t="shared" si="2"/>
        <v>0</v>
      </c>
      <c r="E5" s="63">
        <f t="shared" si="2"/>
        <v>0</v>
      </c>
      <c r="F5" s="63">
        <f t="shared" si="2"/>
        <v>0</v>
      </c>
      <c r="G5" s="63">
        <f t="shared" si="2"/>
        <v>0</v>
      </c>
      <c r="H5" s="63">
        <f t="shared" si="2"/>
        <v>0</v>
      </c>
      <c r="I5" s="63">
        <f t="shared" si="2"/>
        <v>0</v>
      </c>
      <c r="J5" s="63">
        <f t="shared" si="2"/>
        <v>0</v>
      </c>
      <c r="K5" s="63">
        <f t="shared" si="2"/>
        <v>0</v>
      </c>
      <c r="L5" s="63">
        <f t="shared" si="2"/>
        <v>0</v>
      </c>
      <c r="M5" s="63">
        <f t="shared" si="2"/>
        <v>0</v>
      </c>
      <c r="N5" s="63">
        <f t="shared" si="2"/>
        <v>0</v>
      </c>
      <c r="O5" s="26">
        <f t="shared" si="2"/>
        <v>0</v>
      </c>
      <c r="P5" s="26">
        <f t="shared" si="2"/>
        <v>0</v>
      </c>
    </row>
    <row r="8" spans="1:16" ht="15.75" customHeight="1" x14ac:dyDescent="0.15">
      <c r="A8" s="24" t="s">
        <v>5</v>
      </c>
      <c r="B8" s="24" t="s">
        <v>144</v>
      </c>
      <c r="C8" s="24" t="s">
        <v>145</v>
      </c>
      <c r="D8" s="24" t="s">
        <v>146</v>
      </c>
      <c r="E8" s="24" t="s">
        <v>147</v>
      </c>
      <c r="F8" s="24" t="s">
        <v>148</v>
      </c>
      <c r="G8" s="24" t="s">
        <v>149</v>
      </c>
      <c r="H8" s="24" t="s">
        <v>150</v>
      </c>
    </row>
    <row r="9" spans="1:16" s="75" customFormat="1" ht="36" x14ac:dyDescent="0.15">
      <c r="A9" s="80" t="s">
        <v>6</v>
      </c>
      <c r="B9" s="80" t="s">
        <v>151</v>
      </c>
      <c r="C9" s="80" t="s">
        <v>152</v>
      </c>
      <c r="D9" s="80" t="s">
        <v>153</v>
      </c>
      <c r="E9" s="80" t="s">
        <v>154</v>
      </c>
      <c r="F9" s="80" t="s">
        <v>155</v>
      </c>
      <c r="G9" s="80" t="s">
        <v>156</v>
      </c>
      <c r="H9" s="80" t="s">
        <v>157</v>
      </c>
    </row>
    <row r="10" spans="1:16" x14ac:dyDescent="0.15">
      <c r="A10" s="26" t="s">
        <v>40</v>
      </c>
      <c r="B10" s="27">
        <f t="shared" ref="B10:H10" si="3">RTD("em.rtq",,B8,"Time")</f>
        <v>0</v>
      </c>
      <c r="C10" s="27">
        <f t="shared" si="3"/>
        <v>0</v>
      </c>
      <c r="D10" s="27">
        <f t="shared" si="3"/>
        <v>0</v>
      </c>
      <c r="E10" s="27">
        <f t="shared" si="3"/>
        <v>0</v>
      </c>
      <c r="F10" s="27">
        <f t="shared" si="3"/>
        <v>0</v>
      </c>
      <c r="G10" s="27">
        <f t="shared" si="3"/>
        <v>0</v>
      </c>
      <c r="H10" s="27">
        <f t="shared" si="3"/>
        <v>0</v>
      </c>
    </row>
    <row r="11" spans="1:16" x14ac:dyDescent="0.15">
      <c r="A11" s="26" t="s">
        <v>41</v>
      </c>
      <c r="B11" s="63">
        <f t="shared" ref="B11:H11" si="4">RTD("em.rtq",,B8,"Now")</f>
        <v>0</v>
      </c>
      <c r="C11" s="63">
        <f t="shared" si="4"/>
        <v>0</v>
      </c>
      <c r="D11" s="63">
        <f t="shared" si="4"/>
        <v>0</v>
      </c>
      <c r="E11" s="63">
        <f t="shared" si="4"/>
        <v>0</v>
      </c>
      <c r="F11" s="63">
        <f t="shared" si="4"/>
        <v>0</v>
      </c>
      <c r="G11" s="63">
        <f t="shared" si="4"/>
        <v>0</v>
      </c>
      <c r="H11" s="63">
        <f t="shared" si="4"/>
        <v>0</v>
      </c>
    </row>
    <row r="12" spans="1:16" x14ac:dyDescent="0.15">
      <c r="A12" s="26" t="s">
        <v>143</v>
      </c>
      <c r="B12" s="63">
        <f t="shared" ref="B12:H12" si="5">RTD("em.rtq",,B8,"DifferRange")</f>
        <v>0</v>
      </c>
      <c r="C12" s="63">
        <f t="shared" si="5"/>
        <v>0</v>
      </c>
      <c r="D12" s="63">
        <f t="shared" si="5"/>
        <v>0</v>
      </c>
      <c r="E12" s="63">
        <f t="shared" si="5"/>
        <v>0</v>
      </c>
      <c r="F12" s="63">
        <f t="shared" si="5"/>
        <v>0</v>
      </c>
      <c r="G12" s="63">
        <f t="shared" si="5"/>
        <v>0</v>
      </c>
      <c r="H12" s="63">
        <f t="shared" si="5"/>
        <v>0</v>
      </c>
    </row>
    <row r="15" spans="1:16" s="76" customFormat="1" ht="27" x14ac:dyDescent="0.15">
      <c r="A15" s="76" t="s">
        <v>158</v>
      </c>
      <c r="B15" s="76" t="s">
        <v>159</v>
      </c>
      <c r="C15" s="76" t="s">
        <v>0</v>
      </c>
      <c r="D15" s="76" t="s">
        <v>160</v>
      </c>
      <c r="E15" s="81" t="s">
        <v>161</v>
      </c>
      <c r="F15" s="82" t="s">
        <v>162</v>
      </c>
      <c r="G15" s="82" t="s">
        <v>163</v>
      </c>
      <c r="H15" s="82" t="s">
        <v>164</v>
      </c>
      <c r="I15" s="82" t="s">
        <v>165</v>
      </c>
      <c r="J15" s="82" t="s">
        <v>166</v>
      </c>
      <c r="K15" s="82" t="s">
        <v>167</v>
      </c>
      <c r="L15" s="134" t="s">
        <v>2</v>
      </c>
    </row>
    <row r="16" spans="1:16" s="77" customFormat="1" x14ac:dyDescent="0.15">
      <c r="A16" s="83">
        <v>44092</v>
      </c>
      <c r="B16" s="84">
        <f ca="1">TODAY()</f>
        <v>44084</v>
      </c>
      <c r="C16" s="85">
        <v>2009</v>
      </c>
      <c r="D16" s="86">
        <f>B4</f>
        <v>0</v>
      </c>
      <c r="E16" s="87">
        <f>C4</f>
        <v>0</v>
      </c>
      <c r="F16" s="88">
        <f t="shared" ref="F16:F19" si="6">E16-D16</f>
        <v>0</v>
      </c>
      <c r="G16" s="89">
        <v>0</v>
      </c>
      <c r="H16" s="88">
        <f t="shared" ref="H16:H19" si="7">F16+G16</f>
        <v>0</v>
      </c>
      <c r="I16" s="135" t="e">
        <f t="shared" ref="I16:I19" si="8">H16/D16</f>
        <v>#DIV/0!</v>
      </c>
      <c r="J16" s="90">
        <f t="shared" ref="J16:J19" ca="1" si="9">A16-B16</f>
        <v>8</v>
      </c>
      <c r="K16" s="135" t="e">
        <f t="shared" ref="K16:K19" ca="1" si="10">I16*365/J16</f>
        <v>#DIV/0!</v>
      </c>
      <c r="L16"/>
    </row>
    <row r="17" spans="1:13" s="77" customFormat="1" x14ac:dyDescent="0.15">
      <c r="A17" s="83">
        <v>44120</v>
      </c>
      <c r="B17" s="84">
        <f t="shared" ref="B17:B19" ca="1" si="11">TODAY()</f>
        <v>44084</v>
      </c>
      <c r="C17" s="85">
        <v>2010</v>
      </c>
      <c r="D17" s="90">
        <f t="shared" ref="D17:D19" si="12">D16</f>
        <v>0</v>
      </c>
      <c r="E17" s="87">
        <f>D4</f>
        <v>0</v>
      </c>
      <c r="F17" s="88">
        <f t="shared" si="6"/>
        <v>0</v>
      </c>
      <c r="G17" s="89">
        <v>0</v>
      </c>
      <c r="H17" s="88">
        <f t="shared" si="7"/>
        <v>0</v>
      </c>
      <c r="I17" s="135" t="e">
        <f t="shared" si="8"/>
        <v>#DIV/0!</v>
      </c>
      <c r="J17" s="90">
        <f t="shared" ca="1" si="9"/>
        <v>36</v>
      </c>
      <c r="K17" s="135" t="e">
        <f t="shared" ca="1" si="10"/>
        <v>#DIV/0!</v>
      </c>
      <c r="L17" s="136" t="e">
        <f>I17-I$16</f>
        <v>#DIV/0!</v>
      </c>
    </row>
    <row r="18" spans="1:13" s="77" customFormat="1" x14ac:dyDescent="0.15">
      <c r="A18" s="83">
        <v>44183</v>
      </c>
      <c r="B18" s="84">
        <f t="shared" ca="1" si="11"/>
        <v>44084</v>
      </c>
      <c r="C18" s="85">
        <v>2012</v>
      </c>
      <c r="D18" s="90">
        <f t="shared" si="12"/>
        <v>0</v>
      </c>
      <c r="E18" s="87">
        <f>E4</f>
        <v>0</v>
      </c>
      <c r="F18" s="88">
        <f t="shared" si="6"/>
        <v>0</v>
      </c>
      <c r="G18" s="89">
        <v>0</v>
      </c>
      <c r="H18" s="88">
        <f t="shared" si="7"/>
        <v>0</v>
      </c>
      <c r="I18" s="135" t="e">
        <f t="shared" si="8"/>
        <v>#DIV/0!</v>
      </c>
      <c r="J18" s="90">
        <f t="shared" ca="1" si="9"/>
        <v>99</v>
      </c>
      <c r="K18" s="135" t="e">
        <f t="shared" ca="1" si="10"/>
        <v>#DIV/0!</v>
      </c>
      <c r="L18" s="136" t="e">
        <f t="shared" ref="L18:L19" si="13">I18-I$16</f>
        <v>#DIV/0!</v>
      </c>
    </row>
    <row r="19" spans="1:13" s="77" customFormat="1" x14ac:dyDescent="0.15">
      <c r="A19" s="83">
        <v>44274</v>
      </c>
      <c r="B19" s="84">
        <f t="shared" ca="1" si="11"/>
        <v>44084</v>
      </c>
      <c r="C19" s="85">
        <v>2103</v>
      </c>
      <c r="D19" s="90">
        <f t="shared" si="12"/>
        <v>0</v>
      </c>
      <c r="E19" s="87">
        <f>F4</f>
        <v>0</v>
      </c>
      <c r="F19" s="88">
        <f t="shared" si="6"/>
        <v>0</v>
      </c>
      <c r="G19" s="89">
        <v>0</v>
      </c>
      <c r="H19" s="88">
        <f t="shared" si="7"/>
        <v>0</v>
      </c>
      <c r="I19" s="135" t="e">
        <f t="shared" si="8"/>
        <v>#DIV/0!</v>
      </c>
      <c r="J19" s="90">
        <f t="shared" ca="1" si="9"/>
        <v>190</v>
      </c>
      <c r="K19" s="135" t="e">
        <f t="shared" ca="1" si="10"/>
        <v>#DIV/0!</v>
      </c>
      <c r="L19" s="136" t="e">
        <f t="shared" si="13"/>
        <v>#DIV/0!</v>
      </c>
    </row>
    <row r="21" spans="1:13" s="76" customFormat="1" ht="27" x14ac:dyDescent="0.15">
      <c r="A21" s="76" t="s">
        <v>158</v>
      </c>
      <c r="B21" s="76" t="s">
        <v>159</v>
      </c>
      <c r="C21" s="76" t="s">
        <v>0</v>
      </c>
      <c r="D21" s="76" t="s">
        <v>160</v>
      </c>
      <c r="E21" s="91" t="s">
        <v>168</v>
      </c>
      <c r="F21" s="92" t="s">
        <v>162</v>
      </c>
      <c r="G21" s="92" t="s">
        <v>163</v>
      </c>
      <c r="H21" s="92" t="s">
        <v>164</v>
      </c>
      <c r="I21" s="92" t="s">
        <v>165</v>
      </c>
      <c r="J21" s="92" t="s">
        <v>166</v>
      </c>
      <c r="K21" s="137" t="s">
        <v>167</v>
      </c>
      <c r="L21" s="134" t="s">
        <v>2</v>
      </c>
      <c r="M21" s="76" t="s">
        <v>3</v>
      </c>
    </row>
    <row r="22" spans="1:13" s="77" customFormat="1" x14ac:dyDescent="0.15">
      <c r="A22" s="83">
        <v>44092</v>
      </c>
      <c r="B22" s="84">
        <f t="shared" ref="B22:B25" ca="1" si="14">TODAY()</f>
        <v>44084</v>
      </c>
      <c r="C22" s="85">
        <v>2009</v>
      </c>
      <c r="D22" s="93">
        <f>G4</f>
        <v>0</v>
      </c>
      <c r="E22" s="94">
        <f>H4</f>
        <v>0</v>
      </c>
      <c r="F22" s="95">
        <f t="shared" ref="F22:F25" si="15">E22-D22</f>
        <v>0</v>
      </c>
      <c r="G22" s="96">
        <v>0</v>
      </c>
      <c r="H22" s="95">
        <f t="shared" ref="H22:H25" si="16">F22+G22</f>
        <v>0</v>
      </c>
      <c r="I22" s="138" t="e">
        <f t="shared" ref="I22:I25" si="17">H22/D22</f>
        <v>#DIV/0!</v>
      </c>
      <c r="J22" s="139">
        <f ca="1">A22-B22</f>
        <v>8</v>
      </c>
      <c r="K22" s="138" t="e">
        <f t="shared" ref="K22:K25" ca="1" si="18">I22*365/J22</f>
        <v>#DIV/0!</v>
      </c>
      <c r="L22"/>
    </row>
    <row r="23" spans="1:13" s="77" customFormat="1" x14ac:dyDescent="0.15">
      <c r="A23" s="83">
        <v>44120</v>
      </c>
      <c r="B23" s="84">
        <f t="shared" ca="1" si="14"/>
        <v>44084</v>
      </c>
      <c r="C23" s="85">
        <v>2010</v>
      </c>
      <c r="D23" s="93">
        <f t="shared" ref="D23:D25" si="19">D22</f>
        <v>0</v>
      </c>
      <c r="E23" s="94">
        <f>I4</f>
        <v>0</v>
      </c>
      <c r="F23" s="95">
        <f t="shared" si="15"/>
        <v>0</v>
      </c>
      <c r="G23" s="96">
        <v>0</v>
      </c>
      <c r="H23" s="95">
        <f t="shared" si="16"/>
        <v>0</v>
      </c>
      <c r="I23" s="138" t="e">
        <f t="shared" si="17"/>
        <v>#DIV/0!</v>
      </c>
      <c r="J23" s="139">
        <f ca="1">A23-B23</f>
        <v>36</v>
      </c>
      <c r="K23" s="138" t="e">
        <f t="shared" ca="1" si="18"/>
        <v>#DIV/0!</v>
      </c>
      <c r="L23" s="136" t="e">
        <f>I23-I$22</f>
        <v>#DIV/0!</v>
      </c>
      <c r="M23" s="140">
        <f>F23-F22</f>
        <v>0</v>
      </c>
    </row>
    <row r="24" spans="1:13" s="77" customFormat="1" x14ac:dyDescent="0.15">
      <c r="A24" s="83">
        <v>44183</v>
      </c>
      <c r="B24" s="84">
        <f t="shared" ca="1" si="14"/>
        <v>44084</v>
      </c>
      <c r="C24" s="85">
        <v>2012</v>
      </c>
      <c r="D24" s="93">
        <f t="shared" si="19"/>
        <v>0</v>
      </c>
      <c r="E24" s="94">
        <f>J4</f>
        <v>0</v>
      </c>
      <c r="F24" s="95">
        <f t="shared" si="15"/>
        <v>0</v>
      </c>
      <c r="G24" s="96">
        <v>0</v>
      </c>
      <c r="H24" s="95">
        <f t="shared" si="16"/>
        <v>0</v>
      </c>
      <c r="I24" s="138" t="e">
        <f t="shared" si="17"/>
        <v>#DIV/0!</v>
      </c>
      <c r="J24" s="139">
        <f ca="1">A24-B24</f>
        <v>99</v>
      </c>
      <c r="K24" s="138" t="e">
        <f t="shared" ca="1" si="18"/>
        <v>#DIV/0!</v>
      </c>
      <c r="L24" s="136" t="e">
        <f t="shared" ref="L24:L25" si="20">I24-I$22</f>
        <v>#DIV/0!</v>
      </c>
    </row>
    <row r="25" spans="1:13" s="77" customFormat="1" x14ac:dyDescent="0.15">
      <c r="A25" s="83">
        <v>44274</v>
      </c>
      <c r="B25" s="84">
        <f t="shared" ca="1" si="14"/>
        <v>44084</v>
      </c>
      <c r="C25" s="85">
        <v>2103</v>
      </c>
      <c r="D25" s="93">
        <f t="shared" si="19"/>
        <v>0</v>
      </c>
      <c r="E25" s="94">
        <f>K4</f>
        <v>0</v>
      </c>
      <c r="F25" s="95">
        <f t="shared" si="15"/>
        <v>0</v>
      </c>
      <c r="G25" s="96">
        <v>0</v>
      </c>
      <c r="H25" s="95">
        <f t="shared" si="16"/>
        <v>0</v>
      </c>
      <c r="I25" s="138" t="e">
        <f t="shared" si="17"/>
        <v>#DIV/0!</v>
      </c>
      <c r="J25" s="139">
        <f ca="1">A25-B25</f>
        <v>190</v>
      </c>
      <c r="K25" s="138" t="e">
        <f t="shared" ca="1" si="18"/>
        <v>#DIV/0!</v>
      </c>
      <c r="L25" s="136" t="e">
        <f t="shared" si="20"/>
        <v>#DIV/0!</v>
      </c>
    </row>
    <row r="27" spans="1:13" s="76" customFormat="1" ht="27" x14ac:dyDescent="0.15">
      <c r="A27" s="76" t="s">
        <v>158</v>
      </c>
      <c r="B27" s="76" t="s">
        <v>159</v>
      </c>
      <c r="C27" s="76" t="s">
        <v>0</v>
      </c>
      <c r="D27" s="76" t="s">
        <v>160</v>
      </c>
      <c r="E27" s="97" t="s">
        <v>169</v>
      </c>
      <c r="F27" s="98" t="s">
        <v>162</v>
      </c>
      <c r="G27" s="98" t="s">
        <v>163</v>
      </c>
      <c r="H27" s="98" t="s">
        <v>164</v>
      </c>
      <c r="I27" s="98" t="s">
        <v>165</v>
      </c>
      <c r="J27" s="98" t="s">
        <v>166</v>
      </c>
      <c r="K27" s="141" t="s">
        <v>167</v>
      </c>
      <c r="L27" s="134" t="s">
        <v>2</v>
      </c>
      <c r="M27" s="76" t="s">
        <v>3</v>
      </c>
    </row>
    <row r="28" spans="1:13" s="77" customFormat="1" x14ac:dyDescent="0.15">
      <c r="A28" s="83">
        <v>44092</v>
      </c>
      <c r="B28" s="84">
        <f t="shared" ref="B28:B31" ca="1" si="21">TODAY()</f>
        <v>44084</v>
      </c>
      <c r="C28" s="85">
        <v>2009</v>
      </c>
      <c r="D28" s="99">
        <f>L4</f>
        <v>0</v>
      </c>
      <c r="E28" s="100">
        <f>M4</f>
        <v>0</v>
      </c>
      <c r="F28" s="101">
        <f t="shared" ref="F28:F31" si="22">E28-D28</f>
        <v>0</v>
      </c>
      <c r="G28" s="102">
        <v>0</v>
      </c>
      <c r="H28" s="103">
        <f t="shared" ref="H28:H31" si="23">F28+G28</f>
        <v>0</v>
      </c>
      <c r="I28" s="142" t="e">
        <f t="shared" ref="I28:I31" si="24">H28/D28</f>
        <v>#DIV/0!</v>
      </c>
      <c r="J28" s="143">
        <f ca="1">A28-B28</f>
        <v>8</v>
      </c>
      <c r="K28" s="142" t="e">
        <f t="shared" ref="K28:K31" ca="1" si="25">I28*365/J28</f>
        <v>#DIV/0!</v>
      </c>
      <c r="L28"/>
    </row>
    <row r="29" spans="1:13" s="77" customFormat="1" x14ac:dyDescent="0.15">
      <c r="A29" s="83">
        <v>44120</v>
      </c>
      <c r="B29" s="84">
        <f t="shared" ca="1" si="21"/>
        <v>44084</v>
      </c>
      <c r="C29" s="85">
        <v>2010</v>
      </c>
      <c r="D29" s="99">
        <f t="shared" ref="D29:D31" si="26">D28</f>
        <v>0</v>
      </c>
      <c r="E29" s="100">
        <f>N4</f>
        <v>0</v>
      </c>
      <c r="F29" s="101">
        <f t="shared" si="22"/>
        <v>0</v>
      </c>
      <c r="G29" s="102">
        <v>0</v>
      </c>
      <c r="H29" s="103">
        <f t="shared" si="23"/>
        <v>0</v>
      </c>
      <c r="I29" s="142" t="e">
        <f t="shared" si="24"/>
        <v>#DIV/0!</v>
      </c>
      <c r="J29" s="143">
        <f ca="1">A29-B29</f>
        <v>36</v>
      </c>
      <c r="K29" s="142" t="e">
        <f t="shared" ca="1" si="25"/>
        <v>#DIV/0!</v>
      </c>
      <c r="L29" s="136" t="e">
        <f>I29-I$28</f>
        <v>#DIV/0!</v>
      </c>
      <c r="M29" s="140">
        <f>F29-F28</f>
        <v>0</v>
      </c>
    </row>
    <row r="30" spans="1:13" s="77" customFormat="1" x14ac:dyDescent="0.15">
      <c r="A30" s="83">
        <v>44183</v>
      </c>
      <c r="B30" s="84">
        <f t="shared" ca="1" si="21"/>
        <v>44084</v>
      </c>
      <c r="C30" s="85">
        <v>2012</v>
      </c>
      <c r="D30" s="99">
        <f t="shared" si="26"/>
        <v>0</v>
      </c>
      <c r="E30" s="100">
        <f>O4</f>
        <v>0</v>
      </c>
      <c r="F30" s="101">
        <f t="shared" si="22"/>
        <v>0</v>
      </c>
      <c r="G30" s="102">
        <v>0</v>
      </c>
      <c r="H30" s="103">
        <f t="shared" si="23"/>
        <v>0</v>
      </c>
      <c r="I30" s="142" t="e">
        <f t="shared" si="24"/>
        <v>#DIV/0!</v>
      </c>
      <c r="J30" s="143">
        <f ca="1">A30-B30</f>
        <v>99</v>
      </c>
      <c r="K30" s="142" t="e">
        <f t="shared" ca="1" si="25"/>
        <v>#DIV/0!</v>
      </c>
      <c r="L30" s="136" t="e">
        <f t="shared" ref="L30:L31" si="27">I30-I$28</f>
        <v>#DIV/0!</v>
      </c>
    </row>
    <row r="31" spans="1:13" s="77" customFormat="1" x14ac:dyDescent="0.15">
      <c r="A31" s="83">
        <v>44274</v>
      </c>
      <c r="B31" s="84">
        <f t="shared" ca="1" si="21"/>
        <v>44084</v>
      </c>
      <c r="C31" s="85">
        <v>2103</v>
      </c>
      <c r="D31" s="99">
        <f t="shared" si="26"/>
        <v>0</v>
      </c>
      <c r="E31" s="100">
        <f>P4</f>
        <v>0</v>
      </c>
      <c r="F31" s="101">
        <f t="shared" si="22"/>
        <v>0</v>
      </c>
      <c r="G31" s="102">
        <v>0</v>
      </c>
      <c r="H31" s="103">
        <f t="shared" si="23"/>
        <v>0</v>
      </c>
      <c r="I31" s="142" t="e">
        <f t="shared" si="24"/>
        <v>#DIV/0!</v>
      </c>
      <c r="J31" s="143">
        <f ca="1">A31-B31</f>
        <v>190</v>
      </c>
      <c r="K31" s="142" t="e">
        <f t="shared" ca="1" si="25"/>
        <v>#DIV/0!</v>
      </c>
      <c r="L31" s="136" t="e">
        <f t="shared" si="27"/>
        <v>#DIV/0!</v>
      </c>
    </row>
    <row r="33" spans="1:29" s="76" customFormat="1" ht="27" x14ac:dyDescent="0.15">
      <c r="A33" s="76" t="s">
        <v>158</v>
      </c>
      <c r="B33" s="76" t="s">
        <v>159</v>
      </c>
      <c r="C33" s="76" t="s">
        <v>0</v>
      </c>
      <c r="D33" s="76" t="s">
        <v>160</v>
      </c>
      <c r="E33" s="104" t="s">
        <v>170</v>
      </c>
      <c r="F33" s="105" t="s">
        <v>162</v>
      </c>
      <c r="G33" s="105" t="s">
        <v>163</v>
      </c>
      <c r="H33" s="105" t="s">
        <v>164</v>
      </c>
      <c r="I33" s="105" t="s">
        <v>165</v>
      </c>
      <c r="J33" s="105" t="s">
        <v>166</v>
      </c>
      <c r="K33" s="105" t="s">
        <v>167</v>
      </c>
      <c r="L33" s="144" t="s">
        <v>171</v>
      </c>
      <c r="M33" s="144" t="s">
        <v>172</v>
      </c>
      <c r="N33" s="144"/>
      <c r="V33" s="24"/>
      <c r="W33" s="24"/>
      <c r="X33" s="24"/>
    </row>
    <row r="34" spans="1:29" s="77" customFormat="1" x14ac:dyDescent="0.15">
      <c r="A34" s="84">
        <v>44103</v>
      </c>
      <c r="B34" s="84">
        <f t="shared" ref="B34:B35" ca="1" si="28">TODAY()</f>
        <v>44084</v>
      </c>
      <c r="C34" s="77">
        <v>2009</v>
      </c>
      <c r="D34" s="106">
        <v>15420</v>
      </c>
      <c r="E34" s="107">
        <f>E11</f>
        <v>0</v>
      </c>
      <c r="F34" s="107">
        <f>E34-D34</f>
        <v>-15420</v>
      </c>
      <c r="G34" s="107">
        <v>32.799999999999997</v>
      </c>
      <c r="H34" s="107">
        <f>F34+G34</f>
        <v>-15387.2</v>
      </c>
      <c r="I34" s="145">
        <f>H34/D34</f>
        <v>-0.99787289234760057</v>
      </c>
      <c r="J34" s="106">
        <f ca="1">A34-B34</f>
        <v>19</v>
      </c>
      <c r="K34" s="145">
        <f ca="1">I34*365/J34</f>
        <v>-19.169663458256537</v>
      </c>
      <c r="L34" s="146" t="e">
        <f>I16</f>
        <v>#DIV/0!</v>
      </c>
      <c r="M34" s="146" t="e">
        <f>I34-L34</f>
        <v>#DIV/0!</v>
      </c>
      <c r="N34" s="146"/>
      <c r="V34" s="63"/>
      <c r="W34" s="63"/>
      <c r="X34" s="63"/>
    </row>
    <row r="35" spans="1:29" s="77" customFormat="1" x14ac:dyDescent="0.15">
      <c r="A35" s="84">
        <v>44195</v>
      </c>
      <c r="B35" s="84">
        <f t="shared" ca="1" si="28"/>
        <v>44084</v>
      </c>
      <c r="C35" s="77">
        <v>2012</v>
      </c>
      <c r="D35" s="106">
        <f t="shared" ref="D35" si="29">D34</f>
        <v>15420</v>
      </c>
      <c r="E35" s="107"/>
      <c r="F35" s="108"/>
      <c r="G35" s="109"/>
      <c r="H35" s="108"/>
      <c r="I35" s="145"/>
      <c r="J35" s="106"/>
      <c r="K35" s="145"/>
      <c r="L35" s="147"/>
      <c r="M35" s="146"/>
      <c r="N35" s="146"/>
      <c r="V35" s="63"/>
      <c r="W35" s="63"/>
      <c r="X35" s="63"/>
    </row>
    <row r="36" spans="1:29" s="77" customFormat="1" x14ac:dyDescent="0.15">
      <c r="A36" s="84"/>
      <c r="B36" s="84"/>
      <c r="D36"/>
      <c r="E36"/>
      <c r="F36"/>
      <c r="G36"/>
      <c r="H36"/>
      <c r="I36"/>
      <c r="J36"/>
      <c r="K36"/>
      <c r="L36"/>
      <c r="M36"/>
      <c r="N36"/>
      <c r="V36" s="63"/>
      <c r="W36" s="63"/>
      <c r="X36" s="63"/>
    </row>
    <row r="37" spans="1:29" s="77" customFormat="1" ht="48" customHeight="1" x14ac:dyDescent="0.15">
      <c r="A37" s="110"/>
      <c r="B37" s="110" t="s">
        <v>23</v>
      </c>
      <c r="C37" s="110" t="s">
        <v>24</v>
      </c>
      <c r="D37" s="111" t="s">
        <v>173</v>
      </c>
      <c r="E37" s="111" t="s">
        <v>174</v>
      </c>
      <c r="F37" s="112" t="s">
        <v>175</v>
      </c>
      <c r="G37" s="113" t="s">
        <v>176</v>
      </c>
      <c r="H37" s="114" t="s">
        <v>25</v>
      </c>
      <c r="I37" s="111" t="s">
        <v>177</v>
      </c>
      <c r="J37" s="111" t="s">
        <v>178</v>
      </c>
      <c r="K37" s="148" t="s">
        <v>179</v>
      </c>
      <c r="L37" s="148" t="s">
        <v>180</v>
      </c>
      <c r="M37" s="114" t="s">
        <v>26</v>
      </c>
      <c r="N37" s="134" t="s">
        <v>27</v>
      </c>
      <c r="O37" s="134" t="s">
        <v>28</v>
      </c>
      <c r="P37" s="134" t="s">
        <v>29</v>
      </c>
      <c r="Q37"/>
      <c r="R37"/>
      <c r="S37"/>
      <c r="AA37" s="63"/>
      <c r="AB37" s="63"/>
      <c r="AC37" s="63"/>
    </row>
    <row r="38" spans="1:29" s="77" customFormat="1" ht="24.75" customHeight="1" x14ac:dyDescent="0.15">
      <c r="A38" s="115">
        <v>164906</v>
      </c>
      <c r="B38" s="116">
        <f>两市场交易!D10</f>
        <v>0</v>
      </c>
      <c r="C38" s="117">
        <f>D81</f>
        <v>1.79058308</v>
      </c>
      <c r="D38" s="118">
        <f>(B38/C38-1)</f>
        <v>-1</v>
      </c>
      <c r="E38" s="118">
        <f>两市场交易!B34/100</f>
        <v>0</v>
      </c>
      <c r="F38" s="119" t="e">
        <f>(R49+E38*G38)*0.97</f>
        <v>#DIV/0!</v>
      </c>
      <c r="G38" s="120" t="e">
        <f>R48</f>
        <v>#DIV/0!</v>
      </c>
      <c r="H38" s="121" t="e">
        <f>D38-F38</f>
        <v>#DIV/0!</v>
      </c>
      <c r="I38" s="149">
        <f>两市场交易!C34/100</f>
        <v>0</v>
      </c>
      <c r="J38" s="150" t="e">
        <f>(W49+I38*K38)*0.97</f>
        <v>#DIV/0!</v>
      </c>
      <c r="K38" s="151" t="e">
        <f>W48</f>
        <v>#DIV/0!</v>
      </c>
      <c r="L38" s="151" t="e">
        <f>G38+K38</f>
        <v>#DIV/0!</v>
      </c>
      <c r="M38" s="121" t="e">
        <f>H38-J38-I38*(1-L38)</f>
        <v>#DIV/0!</v>
      </c>
      <c r="N38" s="152">
        <f>两市场交易!E10-监控!B47</f>
        <v>0</v>
      </c>
      <c r="O38" s="152">
        <f>两市场交易!E11-监控!B47</f>
        <v>0</v>
      </c>
      <c r="P38" s="152">
        <f>两市场交易!E10-两市场交易!E11</f>
        <v>0</v>
      </c>
      <c r="Q38"/>
      <c r="R38"/>
      <c r="S38"/>
      <c r="AA38" s="63"/>
      <c r="AB38" s="63"/>
      <c r="AC38" s="63"/>
    </row>
    <row r="39" spans="1:29" s="77" customFormat="1" ht="24.75" customHeight="1" x14ac:dyDescent="0.15">
      <c r="A39" s="115">
        <v>513050</v>
      </c>
      <c r="B39" s="116">
        <f>两市场交易!D11</f>
        <v>0</v>
      </c>
      <c r="C39" s="117">
        <f>L81</f>
        <v>1.9507249369999999</v>
      </c>
      <c r="D39" s="118">
        <f>(B39/C39-1)</f>
        <v>-1</v>
      </c>
      <c r="E39" s="118">
        <f>E38</f>
        <v>0</v>
      </c>
      <c r="F39" s="119" t="e">
        <f>(I60+E39*G39)*0.99</f>
        <v>#DIV/0!</v>
      </c>
      <c r="G39" s="120" t="e">
        <f>I59</f>
        <v>#DIV/0!</v>
      </c>
      <c r="H39" s="121" t="e">
        <f>D39-F39</f>
        <v>#DIV/0!</v>
      </c>
      <c r="I39" s="149">
        <f>I38</f>
        <v>0</v>
      </c>
      <c r="J39" s="150" t="e">
        <f>(N60+I39*K39)*0.99</f>
        <v>#DIV/0!</v>
      </c>
      <c r="K39" s="151" t="e">
        <f>N59</f>
        <v>#DIV/0!</v>
      </c>
      <c r="L39" s="151" t="e">
        <f>G39+K39</f>
        <v>#DIV/0!</v>
      </c>
      <c r="M39" s="121" t="e">
        <f>H39-J39-I39*(1-L39)</f>
        <v>#DIV/0!</v>
      </c>
      <c r="N39"/>
      <c r="O39"/>
      <c r="P39"/>
      <c r="Q39"/>
      <c r="R39"/>
      <c r="S39"/>
      <c r="AA39" s="63"/>
      <c r="AB39" s="63"/>
      <c r="AC39" s="63"/>
    </row>
    <row r="40" spans="1:29" s="77" customFormat="1" ht="24.75" customHeight="1" x14ac:dyDescent="0.15">
      <c r="A40" s="122"/>
      <c r="B40" s="122"/>
      <c r="C40" s="122"/>
      <c r="D40" s="122"/>
      <c r="E40" s="118"/>
      <c r="F40" s="122"/>
      <c r="G40" s="123" t="s">
        <v>35</v>
      </c>
      <c r="H40" s="121" t="e">
        <f>H38-H39</f>
        <v>#DIV/0!</v>
      </c>
      <c r="I40" s="153"/>
      <c r="J40" s="154"/>
      <c r="K40" s="154"/>
      <c r="L40" s="154"/>
      <c r="M40" s="155"/>
      <c r="N40"/>
      <c r="O40"/>
      <c r="P40"/>
      <c r="Q40"/>
      <c r="R40"/>
      <c r="S40"/>
      <c r="AA40" s="63"/>
      <c r="AB40" s="63"/>
      <c r="AC40" s="63"/>
    </row>
    <row r="41" spans="1:29" s="77" customFormat="1" x14ac:dyDescent="0.15">
      <c r="A41" s="84"/>
      <c r="B41" s="84"/>
      <c r="D41"/>
      <c r="E41"/>
      <c r="F41"/>
      <c r="G41"/>
      <c r="H41"/>
      <c r="I41"/>
      <c r="J41"/>
      <c r="K41"/>
      <c r="L41"/>
      <c r="M41"/>
      <c r="N41"/>
      <c r="V41" s="63"/>
      <c r="W41" s="63"/>
      <c r="X41" s="63"/>
    </row>
    <row r="42" spans="1:29" x14ac:dyDescent="0.15">
      <c r="A42" s="124"/>
      <c r="B42" s="124"/>
      <c r="C42" s="124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5" t="s">
        <v>181</v>
      </c>
      <c r="U42" s="125" t="s">
        <v>182</v>
      </c>
      <c r="V42" s="125" t="s">
        <v>183</v>
      </c>
      <c r="W42" s="124"/>
    </row>
    <row r="43" spans="1:29" x14ac:dyDescent="0.15">
      <c r="A43" s="125" t="s">
        <v>5</v>
      </c>
      <c r="B43" s="125" t="s">
        <v>184</v>
      </c>
      <c r="C43" s="125" t="s">
        <v>185</v>
      </c>
      <c r="D43" s="125" t="s">
        <v>186</v>
      </c>
      <c r="E43" s="125" t="s">
        <v>187</v>
      </c>
      <c r="F43" s="125" t="s">
        <v>188</v>
      </c>
      <c r="G43" s="125" t="s">
        <v>189</v>
      </c>
      <c r="H43" s="125" t="s">
        <v>190</v>
      </c>
      <c r="I43" s="125" t="s">
        <v>191</v>
      </c>
      <c r="J43" s="125" t="s">
        <v>192</v>
      </c>
      <c r="K43" s="125" t="s">
        <v>193</v>
      </c>
      <c r="L43" s="125" t="s">
        <v>194</v>
      </c>
      <c r="M43" s="125" t="s">
        <v>195</v>
      </c>
      <c r="N43" s="125" t="s">
        <v>196</v>
      </c>
      <c r="O43" s="125" t="s">
        <v>197</v>
      </c>
      <c r="P43" s="125" t="s">
        <v>198</v>
      </c>
      <c r="Q43" s="125" t="s">
        <v>199</v>
      </c>
      <c r="R43" s="124"/>
      <c r="S43" s="124"/>
      <c r="T43" s="126" t="s">
        <v>200</v>
      </c>
      <c r="U43" s="126" t="s">
        <v>201</v>
      </c>
      <c r="V43" s="126" t="s">
        <v>202</v>
      </c>
      <c r="W43" s="124"/>
    </row>
    <row r="44" spans="1:29" x14ac:dyDescent="0.15">
      <c r="A44" s="125" t="s">
        <v>6</v>
      </c>
      <c r="B44" s="125" t="s">
        <v>203</v>
      </c>
      <c r="C44" s="125" t="s">
        <v>204</v>
      </c>
      <c r="D44" s="125" t="s">
        <v>205</v>
      </c>
      <c r="E44" s="125" t="s">
        <v>206</v>
      </c>
      <c r="F44" s="125" t="s">
        <v>207</v>
      </c>
      <c r="G44" s="125" t="s">
        <v>208</v>
      </c>
      <c r="H44" s="125" t="s">
        <v>209</v>
      </c>
      <c r="I44" s="125" t="s">
        <v>210</v>
      </c>
      <c r="J44" s="125" t="s">
        <v>211</v>
      </c>
      <c r="K44" s="125" t="s">
        <v>212</v>
      </c>
      <c r="L44" s="125" t="s">
        <v>213</v>
      </c>
      <c r="M44" s="125" t="s">
        <v>214</v>
      </c>
      <c r="N44" s="125" t="s">
        <v>215</v>
      </c>
      <c r="O44" s="125" t="s">
        <v>216</v>
      </c>
      <c r="P44" s="125" t="s">
        <v>217</v>
      </c>
      <c r="Q44" s="125" t="s">
        <v>218</v>
      </c>
      <c r="R44" s="124"/>
      <c r="S44" s="124"/>
      <c r="T44" s="127">
        <f>RTD("em.rtq",,T42,"Time")</f>
        <v>0</v>
      </c>
      <c r="U44" s="127">
        <f>RTD("em.rtq",,U42,"Time")</f>
        <v>0</v>
      </c>
      <c r="V44" s="127">
        <f>RTD("em.rtq",,V42,"Time")</f>
        <v>0</v>
      </c>
      <c r="W44" s="124"/>
    </row>
    <row r="45" spans="1:29" x14ac:dyDescent="0.15">
      <c r="A45" s="126" t="s">
        <v>40</v>
      </c>
      <c r="B45" s="127">
        <f>RTD("em.rtq",,B43,"Time")</f>
        <v>0</v>
      </c>
      <c r="C45" s="127">
        <f t="shared" ref="C45:Q45" si="30">RTD("em.rtq",,C43,"Time")</f>
        <v>0</v>
      </c>
      <c r="D45" s="127">
        <f t="shared" si="30"/>
        <v>0</v>
      </c>
      <c r="E45" s="127">
        <f t="shared" si="30"/>
        <v>0</v>
      </c>
      <c r="F45" s="127">
        <f t="shared" si="30"/>
        <v>0</v>
      </c>
      <c r="G45" s="127">
        <f t="shared" si="30"/>
        <v>0</v>
      </c>
      <c r="H45" s="127">
        <f t="shared" si="30"/>
        <v>0</v>
      </c>
      <c r="I45" s="127">
        <f t="shared" si="30"/>
        <v>0</v>
      </c>
      <c r="J45" s="127">
        <f t="shared" si="30"/>
        <v>0</v>
      </c>
      <c r="K45" s="127">
        <f t="shared" si="30"/>
        <v>0</v>
      </c>
      <c r="L45" s="127">
        <f t="shared" si="30"/>
        <v>0</v>
      </c>
      <c r="M45" s="127">
        <f t="shared" si="30"/>
        <v>0</v>
      </c>
      <c r="N45" s="127">
        <f t="shared" si="30"/>
        <v>0</v>
      </c>
      <c r="O45" s="127">
        <f t="shared" si="30"/>
        <v>0</v>
      </c>
      <c r="P45" s="127">
        <f t="shared" si="30"/>
        <v>0</v>
      </c>
      <c r="Q45" s="127">
        <f t="shared" si="30"/>
        <v>0</v>
      </c>
      <c r="R45" s="124"/>
      <c r="S45" s="124"/>
      <c r="T45" s="128">
        <f>RTD("em.rtq",,T42,"Now")</f>
        <v>0</v>
      </c>
      <c r="U45" s="128">
        <f>RTD("em.rtq",,U42,"Now")</f>
        <v>0</v>
      </c>
      <c r="V45" s="128">
        <f>RTD("em.rtq",,V42,"Now")</f>
        <v>0</v>
      </c>
      <c r="W45" s="124"/>
    </row>
    <row r="46" spans="1:29" x14ac:dyDescent="0.15">
      <c r="A46" s="126" t="s">
        <v>41</v>
      </c>
      <c r="B46" s="128">
        <f>RTD("em.rtq",,B43,"Now")</f>
        <v>0</v>
      </c>
      <c r="C46" s="128">
        <f t="shared" ref="C46:Q46" si="31">RTD("em.rtq",,C43,"Now")</f>
        <v>0</v>
      </c>
      <c r="D46" s="128">
        <f t="shared" si="31"/>
        <v>0</v>
      </c>
      <c r="E46" s="128">
        <f t="shared" si="31"/>
        <v>0</v>
      </c>
      <c r="F46" s="128">
        <f t="shared" si="31"/>
        <v>0</v>
      </c>
      <c r="G46" s="128">
        <f t="shared" si="31"/>
        <v>0</v>
      </c>
      <c r="H46" s="128">
        <f t="shared" si="31"/>
        <v>0</v>
      </c>
      <c r="I46" s="128">
        <f t="shared" si="31"/>
        <v>0</v>
      </c>
      <c r="J46" s="128">
        <f t="shared" si="31"/>
        <v>0</v>
      </c>
      <c r="K46" s="128">
        <f t="shared" si="31"/>
        <v>0</v>
      </c>
      <c r="L46" s="128">
        <f t="shared" si="31"/>
        <v>0</v>
      </c>
      <c r="M46" s="128">
        <f t="shared" si="31"/>
        <v>0</v>
      </c>
      <c r="N46" s="128">
        <f t="shared" si="31"/>
        <v>0</v>
      </c>
      <c r="O46" s="128">
        <f t="shared" si="31"/>
        <v>0</v>
      </c>
      <c r="P46" s="126">
        <f t="shared" si="31"/>
        <v>0</v>
      </c>
      <c r="Q46" s="126">
        <f t="shared" si="31"/>
        <v>0</v>
      </c>
      <c r="R46" s="157">
        <v>164906</v>
      </c>
      <c r="S46" s="124"/>
      <c r="T46" s="128">
        <f>RTD("em.rtq",,T42,"DifferRange")</f>
        <v>0</v>
      </c>
      <c r="U46" s="128">
        <f>RTD("em.rtq",,U42,"DifferRange")</f>
        <v>0</v>
      </c>
      <c r="V46" s="128">
        <f>RTD("em.rtq",,V42,"DifferRange")</f>
        <v>0</v>
      </c>
      <c r="W46" s="124"/>
    </row>
    <row r="47" spans="1:29" ht="29.25" customHeight="1" x14ac:dyDescent="0.15">
      <c r="A47" s="126" t="s">
        <v>143</v>
      </c>
      <c r="B47" s="128">
        <f>RTD("em.rtq",,B43,"DifferRange")</f>
        <v>0</v>
      </c>
      <c r="C47" s="128">
        <f t="shared" ref="C47:Q47" si="32">RTD("em.rtq",,C43,"DifferRange")</f>
        <v>0</v>
      </c>
      <c r="D47" s="128">
        <f t="shared" si="32"/>
        <v>0</v>
      </c>
      <c r="E47" s="128">
        <f t="shared" si="32"/>
        <v>0</v>
      </c>
      <c r="F47" s="128">
        <f t="shared" si="32"/>
        <v>0</v>
      </c>
      <c r="G47" s="128">
        <f t="shared" si="32"/>
        <v>0</v>
      </c>
      <c r="H47" s="128">
        <f t="shared" si="32"/>
        <v>0</v>
      </c>
      <c r="I47" s="128">
        <f t="shared" si="32"/>
        <v>0</v>
      </c>
      <c r="J47" s="128">
        <f t="shared" si="32"/>
        <v>0</v>
      </c>
      <c r="K47" s="128">
        <f t="shared" si="32"/>
        <v>0</v>
      </c>
      <c r="L47" s="128">
        <f t="shared" si="32"/>
        <v>0</v>
      </c>
      <c r="M47" s="128">
        <f t="shared" si="32"/>
        <v>0</v>
      </c>
      <c r="N47" s="128">
        <f t="shared" si="32"/>
        <v>0</v>
      </c>
      <c r="O47" s="128">
        <f t="shared" si="32"/>
        <v>0</v>
      </c>
      <c r="P47" s="126">
        <f t="shared" si="32"/>
        <v>0</v>
      </c>
      <c r="Q47" s="126">
        <f t="shared" si="32"/>
        <v>0</v>
      </c>
      <c r="R47" s="157" t="s">
        <v>219</v>
      </c>
      <c r="S47" s="167" t="s">
        <v>220</v>
      </c>
      <c r="T47" s="168">
        <v>-2.97</v>
      </c>
      <c r="U47" s="168">
        <v>-3.16</v>
      </c>
      <c r="V47" s="168">
        <v>-2.88</v>
      </c>
      <c r="W47" s="159" t="s">
        <v>221</v>
      </c>
    </row>
    <row r="48" spans="1:29" x14ac:dyDescent="0.15">
      <c r="A48" s="126" t="s">
        <v>222</v>
      </c>
      <c r="B48" s="129" t="e">
        <f>'164906'!I34</f>
        <v>#DIV/0!</v>
      </c>
      <c r="C48" s="129" t="e">
        <f>'164906'!I35</f>
        <v>#DIV/0!</v>
      </c>
      <c r="D48" s="129" t="e">
        <f>'164906'!I36</f>
        <v>#DIV/0!</v>
      </c>
      <c r="E48" s="129" t="e">
        <f>'164906'!I37</f>
        <v>#DIV/0!</v>
      </c>
      <c r="F48" s="129" t="e">
        <f>'164906'!I38</f>
        <v>#DIV/0!</v>
      </c>
      <c r="G48" s="129" t="e">
        <f>'164906'!I39</f>
        <v>#DIV/0!</v>
      </c>
      <c r="H48" s="129" t="e">
        <f>'164906'!I40</f>
        <v>#DIV/0!</v>
      </c>
      <c r="I48" s="129" t="e">
        <f>'164906'!I41</f>
        <v>#DIV/0!</v>
      </c>
      <c r="J48" s="129" t="e">
        <f>'164906'!I42</f>
        <v>#DIV/0!</v>
      </c>
      <c r="K48" s="129" t="e">
        <f>'164906'!I43</f>
        <v>#DIV/0!</v>
      </c>
      <c r="L48" s="129" t="e">
        <f>'164906'!I44</f>
        <v>#DIV/0!</v>
      </c>
      <c r="M48" s="129" t="e">
        <f>'164906'!I45</f>
        <v>#DIV/0!</v>
      </c>
      <c r="N48" s="129" t="e">
        <f>'164906'!I46</f>
        <v>#DIV/0!</v>
      </c>
      <c r="O48" s="129" t="e">
        <f>'164906'!I47</f>
        <v>#DIV/0!</v>
      </c>
      <c r="P48" s="129" t="e">
        <f>'164906'!I48</f>
        <v>#DIV/0!</v>
      </c>
      <c r="Q48" s="129" t="e">
        <f>'164906'!I49</f>
        <v>#DIV/0!</v>
      </c>
      <c r="R48" s="160" t="e">
        <f>SUM(B48:Q48)%</f>
        <v>#DIV/0!</v>
      </c>
      <c r="S48" s="124"/>
      <c r="T48" s="161" t="e">
        <f>'164906'!I2</f>
        <v>#DIV/0!</v>
      </c>
      <c r="U48" s="161" t="e">
        <f>'164906'!I4</f>
        <v>#DIV/0!</v>
      </c>
      <c r="V48" s="161" t="e">
        <f>'164906'!I6</f>
        <v>#DIV/0!</v>
      </c>
      <c r="W48" s="57" t="e">
        <f>SUM(T48:V48)/100</f>
        <v>#DIV/0!</v>
      </c>
    </row>
    <row r="49" spans="1:23" x14ac:dyDescent="0.15">
      <c r="A49" s="126" t="s">
        <v>223</v>
      </c>
      <c r="B49" s="129" t="e">
        <f>B47*B48/100</f>
        <v>#DIV/0!</v>
      </c>
      <c r="C49" s="129" t="e">
        <f t="shared" ref="C49:H49" si="33">C47*C48/100</f>
        <v>#DIV/0!</v>
      </c>
      <c r="D49" s="129" t="e">
        <f t="shared" si="33"/>
        <v>#DIV/0!</v>
      </c>
      <c r="E49" s="129" t="e">
        <f t="shared" si="33"/>
        <v>#DIV/0!</v>
      </c>
      <c r="F49" s="129" t="e">
        <f t="shared" si="33"/>
        <v>#DIV/0!</v>
      </c>
      <c r="G49" s="129" t="e">
        <f t="shared" si="33"/>
        <v>#DIV/0!</v>
      </c>
      <c r="H49" s="129" t="e">
        <f t="shared" si="33"/>
        <v>#DIV/0!</v>
      </c>
      <c r="I49" s="129" t="e">
        <f t="shared" ref="I49" si="34">I47*I48/100</f>
        <v>#DIV/0!</v>
      </c>
      <c r="J49" s="129" t="e">
        <f t="shared" ref="J49" si="35">J47*J48/100</f>
        <v>#DIV/0!</v>
      </c>
      <c r="K49" s="129" t="e">
        <f t="shared" ref="K49" si="36">K47*K48/100</f>
        <v>#DIV/0!</v>
      </c>
      <c r="L49" s="129" t="e">
        <f t="shared" ref="L49" si="37">L47*L48/100</f>
        <v>#DIV/0!</v>
      </c>
      <c r="M49" s="129" t="e">
        <f t="shared" ref="M49" si="38">M47*M48/100</f>
        <v>#DIV/0!</v>
      </c>
      <c r="N49" s="129" t="e">
        <f t="shared" ref="N49" si="39">N47*N48/100</f>
        <v>#DIV/0!</v>
      </c>
      <c r="O49" s="129" t="e">
        <f t="shared" ref="O49:Q49" si="40">O47*O48/100</f>
        <v>#DIV/0!</v>
      </c>
      <c r="P49" s="129" t="e">
        <f t="shared" si="40"/>
        <v>#DIV/0!</v>
      </c>
      <c r="Q49" s="129" t="e">
        <f t="shared" si="40"/>
        <v>#DIV/0!</v>
      </c>
      <c r="R49" s="162" t="e">
        <f>SUM(B49:Q49)/100</f>
        <v>#DIV/0!</v>
      </c>
      <c r="S49" s="124"/>
      <c r="T49" s="129" t="e">
        <f>(T46-T47)*T48/100</f>
        <v>#DIV/0!</v>
      </c>
      <c r="U49" s="129" t="e">
        <f>(U46-U47)*U48/100</f>
        <v>#DIV/0!</v>
      </c>
      <c r="V49" s="129" t="e">
        <f t="shared" ref="V49" si="41">(V46-V47)*V48/100</f>
        <v>#DIV/0!</v>
      </c>
      <c r="W49" s="163" t="e">
        <f>SUM(T49:V49)/100</f>
        <v>#DIV/0!</v>
      </c>
    </row>
    <row r="50" spans="1:23" x14ac:dyDescent="0.15">
      <c r="A50" s="124"/>
      <c r="B50" s="124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44" t="s">
        <v>224</v>
      </c>
      <c r="S50" s="44" t="s">
        <v>225</v>
      </c>
      <c r="T50" s="44" t="s">
        <v>221</v>
      </c>
      <c r="U50" s="124"/>
      <c r="V50" s="124"/>
      <c r="W50" s="124"/>
    </row>
    <row r="51" spans="1:23" x14ac:dyDescent="0.15">
      <c r="A51" s="124"/>
      <c r="B51" s="124"/>
      <c r="C51" s="124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55" t="s">
        <v>226</v>
      </c>
      <c r="R51" s="169">
        <v>-8.2000000000000007E-3</v>
      </c>
      <c r="S51" s="169">
        <v>-2.2499999999999999E-2</v>
      </c>
      <c r="T51" s="163">
        <f>R51+S51</f>
        <v>-3.0699999999999998E-2</v>
      </c>
      <c r="U51" s="124"/>
      <c r="V51" s="124"/>
      <c r="W51" s="124"/>
    </row>
    <row r="52" spans="1:23" x14ac:dyDescent="0.15">
      <c r="P52" s="67" t="s">
        <v>227</v>
      </c>
      <c r="Q52" s="133" t="s">
        <v>228</v>
      </c>
      <c r="R52" s="170">
        <v>0</v>
      </c>
      <c r="S52" s="170"/>
      <c r="T52" s="166" t="e">
        <f>T51+R52*R48+(1-R48)*S52</f>
        <v>#DIV/0!</v>
      </c>
    </row>
    <row r="53" spans="1:23" x14ac:dyDescent="0.15">
      <c r="A53" s="124"/>
      <c r="B53" s="124"/>
      <c r="C53" s="124"/>
      <c r="D53" s="124"/>
      <c r="E53" s="124"/>
      <c r="F53" s="124"/>
      <c r="G53" s="124"/>
      <c r="H53" s="124"/>
      <c r="I53" s="124"/>
      <c r="J53" s="124"/>
      <c r="K53" s="125" t="s">
        <v>181</v>
      </c>
      <c r="L53" s="125" t="s">
        <v>182</v>
      </c>
      <c r="M53" s="125" t="s">
        <v>183</v>
      </c>
      <c r="N53" s="124"/>
      <c r="P53" s="156" t="s">
        <v>229</v>
      </c>
      <c r="Q53" s="133" t="s">
        <v>228</v>
      </c>
      <c r="R53" s="171">
        <v>-2.9999999999999997E-4</v>
      </c>
      <c r="S53" s="171">
        <v>-4.0000000000000002E-4</v>
      </c>
      <c r="T53" s="166" t="e">
        <f>T51+R53*R48+(1-R48)*S53</f>
        <v>#DIV/0!</v>
      </c>
    </row>
    <row r="54" spans="1:23" x14ac:dyDescent="0.15">
      <c r="A54" s="125" t="s">
        <v>5</v>
      </c>
      <c r="B54" s="125" t="s">
        <v>184</v>
      </c>
      <c r="C54" s="125" t="s">
        <v>185</v>
      </c>
      <c r="D54" s="125" t="s">
        <v>193</v>
      </c>
      <c r="E54" s="125" t="s">
        <v>188</v>
      </c>
      <c r="F54" s="125" t="s">
        <v>189</v>
      </c>
      <c r="G54" s="125" t="s">
        <v>191</v>
      </c>
      <c r="H54" s="125" t="s">
        <v>192</v>
      </c>
      <c r="I54" s="124"/>
      <c r="J54" s="124"/>
      <c r="K54" s="126" t="s">
        <v>200</v>
      </c>
      <c r="L54" s="126" t="s">
        <v>201</v>
      </c>
      <c r="M54" s="126" t="s">
        <v>202</v>
      </c>
      <c r="N54" s="124"/>
    </row>
    <row r="55" spans="1:23" x14ac:dyDescent="0.15">
      <c r="A55" s="125" t="s">
        <v>6</v>
      </c>
      <c r="B55" s="125" t="s">
        <v>203</v>
      </c>
      <c r="C55" s="125" t="s">
        <v>204</v>
      </c>
      <c r="D55" s="125" t="s">
        <v>212</v>
      </c>
      <c r="E55" s="125" t="s">
        <v>207</v>
      </c>
      <c r="F55" s="125" t="s">
        <v>208</v>
      </c>
      <c r="G55" s="125" t="s">
        <v>210</v>
      </c>
      <c r="H55" s="125" t="s">
        <v>211</v>
      </c>
      <c r="I55" s="124"/>
      <c r="J55" s="124"/>
      <c r="K55" s="127">
        <f>RTD("em.rtq",,K53,"Time")</f>
        <v>0</v>
      </c>
      <c r="L55" s="127">
        <f>RTD("em.rtq",,L53,"Time")</f>
        <v>0</v>
      </c>
      <c r="M55" s="127">
        <f>RTD("em.rtq",,M53,"Time")</f>
        <v>0</v>
      </c>
      <c r="N55" s="124"/>
    </row>
    <row r="56" spans="1:23" x14ac:dyDescent="0.15">
      <c r="A56" s="126" t="s">
        <v>40</v>
      </c>
      <c r="B56" s="127">
        <f>RTD("em.rtq",,B54,"Time")</f>
        <v>0</v>
      </c>
      <c r="C56" s="127">
        <f t="shared" ref="C56:H56" si="42">RTD("em.rtq",,C54,"Time")</f>
        <v>0</v>
      </c>
      <c r="D56" s="127">
        <f t="shared" si="42"/>
        <v>0</v>
      </c>
      <c r="E56" s="127">
        <f t="shared" si="42"/>
        <v>0</v>
      </c>
      <c r="F56" s="127">
        <f t="shared" si="42"/>
        <v>0</v>
      </c>
      <c r="G56" s="127">
        <f t="shared" si="42"/>
        <v>0</v>
      </c>
      <c r="H56" s="127">
        <f t="shared" si="42"/>
        <v>0</v>
      </c>
      <c r="I56" s="124"/>
      <c r="J56" s="124"/>
      <c r="K56" s="128">
        <f>RTD("em.rtq",,K53,"Now")</f>
        <v>0</v>
      </c>
      <c r="L56" s="128">
        <f>RTD("em.rtq",,L53,"Now")</f>
        <v>0</v>
      </c>
      <c r="M56" s="128">
        <f>RTD("em.rtq",,M53,"Now")</f>
        <v>0</v>
      </c>
      <c r="N56" s="124"/>
    </row>
    <row r="57" spans="1:23" x14ac:dyDescent="0.15">
      <c r="A57" s="126" t="s">
        <v>41</v>
      </c>
      <c r="B57" s="128">
        <f>RTD("em.rtq",,B54,"Now")</f>
        <v>0</v>
      </c>
      <c r="C57" s="128">
        <f t="shared" ref="C57:H57" si="43">RTD("em.rtq",,C54,"Now")</f>
        <v>0</v>
      </c>
      <c r="D57" s="128">
        <f t="shared" si="43"/>
        <v>0</v>
      </c>
      <c r="E57" s="128">
        <f t="shared" si="43"/>
        <v>0</v>
      </c>
      <c r="F57" s="128">
        <f t="shared" si="43"/>
        <v>0</v>
      </c>
      <c r="G57" s="128">
        <f t="shared" si="43"/>
        <v>0</v>
      </c>
      <c r="H57" s="128">
        <f t="shared" si="43"/>
        <v>0</v>
      </c>
      <c r="I57" s="157">
        <v>513050</v>
      </c>
      <c r="J57" s="124"/>
      <c r="K57" s="128">
        <f>RTD("em.rtq",,K53,"DifferRange")</f>
        <v>0</v>
      </c>
      <c r="L57" s="128">
        <f>RTD("em.rtq",,L53,"DifferRange")</f>
        <v>0</v>
      </c>
      <c r="M57" s="128">
        <f>RTD("em.rtq",,M53,"DifferRange")</f>
        <v>0</v>
      </c>
      <c r="N57" s="124"/>
    </row>
    <row r="58" spans="1:23" x14ac:dyDescent="0.15">
      <c r="A58" s="126" t="s">
        <v>143</v>
      </c>
      <c r="B58" s="128">
        <f>RTD("em.rtq",,B54,"DifferRange")</f>
        <v>0</v>
      </c>
      <c r="C58" s="128">
        <f t="shared" ref="C58:H58" si="44">RTD("em.rtq",,C54,"DifferRange")</f>
        <v>0</v>
      </c>
      <c r="D58" s="128">
        <f t="shared" si="44"/>
        <v>0</v>
      </c>
      <c r="E58" s="128">
        <f t="shared" si="44"/>
        <v>0</v>
      </c>
      <c r="F58" s="128">
        <f t="shared" si="44"/>
        <v>0</v>
      </c>
      <c r="G58" s="128">
        <f t="shared" si="44"/>
        <v>0</v>
      </c>
      <c r="H58" s="128">
        <f t="shared" si="44"/>
        <v>0</v>
      </c>
      <c r="I58" s="157" t="s">
        <v>219</v>
      </c>
      <c r="J58" s="158" t="s">
        <v>220</v>
      </c>
      <c r="K58" s="128">
        <f>T47</f>
        <v>-2.97</v>
      </c>
      <c r="L58" s="128">
        <f t="shared" ref="L58:M58" si="45">U47</f>
        <v>-3.16</v>
      </c>
      <c r="M58" s="128">
        <f t="shared" si="45"/>
        <v>-2.88</v>
      </c>
      <c r="N58" s="159" t="s">
        <v>221</v>
      </c>
    </row>
    <row r="59" spans="1:23" x14ac:dyDescent="0.15">
      <c r="A59" s="126" t="s">
        <v>222</v>
      </c>
      <c r="B59" s="129" t="e">
        <f>'513050'!I26</f>
        <v>#DIV/0!</v>
      </c>
      <c r="C59" s="129" t="e">
        <f>'513050'!I27</f>
        <v>#DIV/0!</v>
      </c>
      <c r="D59" s="130" t="e">
        <f>'513050'!I28</f>
        <v>#DIV/0!</v>
      </c>
      <c r="E59" s="129" t="e">
        <f>'513050'!I29</f>
        <v>#DIV/0!</v>
      </c>
      <c r="F59" s="129" t="e">
        <f>'513050'!I30</f>
        <v>#DIV/0!</v>
      </c>
      <c r="G59" s="130" t="e">
        <f>'513050'!I31</f>
        <v>#DIV/0!</v>
      </c>
      <c r="H59" s="130" t="e">
        <f>'513050'!I32</f>
        <v>#DIV/0!</v>
      </c>
      <c r="I59" s="160" t="e">
        <f>'513050'!H34</f>
        <v>#DIV/0!</v>
      </c>
      <c r="J59" s="124"/>
      <c r="K59" s="161" t="e">
        <f>'513050'!I3</f>
        <v>#DIV/0!</v>
      </c>
      <c r="L59" s="161" t="e">
        <f>'513050'!I4</f>
        <v>#DIV/0!</v>
      </c>
      <c r="M59" s="161" t="e">
        <f>'513050'!I7</f>
        <v>#DIV/0!</v>
      </c>
      <c r="N59" s="57" t="e">
        <f>SUM(K59:M59)/100</f>
        <v>#DIV/0!</v>
      </c>
    </row>
    <row r="60" spans="1:23" x14ac:dyDescent="0.15">
      <c r="A60" s="126" t="s">
        <v>223</v>
      </c>
      <c r="B60" s="129" t="e">
        <f>B58*B59/100</f>
        <v>#DIV/0!</v>
      </c>
      <c r="C60" s="129" t="e">
        <f t="shared" ref="C60:H60" si="46">C58*C59/100</f>
        <v>#DIV/0!</v>
      </c>
      <c r="D60" s="129" t="e">
        <f t="shared" si="46"/>
        <v>#DIV/0!</v>
      </c>
      <c r="E60" s="129" t="e">
        <f t="shared" si="46"/>
        <v>#DIV/0!</v>
      </c>
      <c r="F60" s="129" t="e">
        <f t="shared" si="46"/>
        <v>#DIV/0!</v>
      </c>
      <c r="G60" s="129" t="e">
        <f t="shared" si="46"/>
        <v>#DIV/0!</v>
      </c>
      <c r="H60" s="129" t="e">
        <f t="shared" si="46"/>
        <v>#DIV/0!</v>
      </c>
      <c r="I60" s="162" t="e">
        <f>'513050'!J34</f>
        <v>#DIV/0!</v>
      </c>
      <c r="J60" s="124"/>
      <c r="K60" s="129" t="e">
        <f>(K57-K58)*K59/100</f>
        <v>#DIV/0!</v>
      </c>
      <c r="L60" s="129" t="e">
        <f t="shared" ref="L60:M60" si="47">(L57-L58)*L59/100</f>
        <v>#DIV/0!</v>
      </c>
      <c r="M60" s="129" t="e">
        <f t="shared" si="47"/>
        <v>#DIV/0!</v>
      </c>
      <c r="N60" s="163" t="e">
        <f>SUM(K60:M60)/100</f>
        <v>#DIV/0!</v>
      </c>
    </row>
    <row r="61" spans="1:23" x14ac:dyDescent="0.15">
      <c r="A61" s="124"/>
      <c r="B61" s="124"/>
      <c r="C61" s="124"/>
      <c r="D61" s="124"/>
      <c r="E61" s="124"/>
      <c r="F61" s="124"/>
      <c r="G61" s="124"/>
      <c r="H61" s="124" t="s">
        <v>230</v>
      </c>
      <c r="I61" s="44" t="s">
        <v>224</v>
      </c>
      <c r="J61" s="44" t="s">
        <v>225</v>
      </c>
      <c r="K61" s="44" t="s">
        <v>221</v>
      </c>
      <c r="L61" s="124"/>
      <c r="M61" s="124"/>
      <c r="N61" s="124"/>
    </row>
    <row r="62" spans="1:23" x14ac:dyDescent="0.15">
      <c r="A62" s="124"/>
      <c r="B62" s="124"/>
      <c r="C62" s="124"/>
      <c r="D62" s="124"/>
      <c r="E62" s="124"/>
      <c r="F62" s="124"/>
      <c r="G62" s="124"/>
      <c r="H62" s="55" t="s">
        <v>226</v>
      </c>
      <c r="I62" s="164">
        <v>-6.6E-3</v>
      </c>
      <c r="J62" s="164">
        <v>-2.1700000000000001E-2</v>
      </c>
      <c r="K62" s="163">
        <f>I62+J62</f>
        <v>-2.8299999999999999E-2</v>
      </c>
      <c r="L62" s="124"/>
      <c r="M62" s="124"/>
      <c r="N62" s="124"/>
    </row>
    <row r="63" spans="1:23" x14ac:dyDescent="0.15">
      <c r="A63" s="131"/>
      <c r="B63" s="131"/>
      <c r="C63" s="131"/>
      <c r="D63" s="131"/>
      <c r="E63" s="131"/>
      <c r="F63" s="131"/>
      <c r="G63" s="132" t="s">
        <v>229</v>
      </c>
      <c r="H63" s="133" t="s">
        <v>228</v>
      </c>
      <c r="I63" s="165">
        <f>R53</f>
        <v>-2.9999999999999997E-4</v>
      </c>
      <c r="J63" s="165">
        <f>S53</f>
        <v>-4.0000000000000002E-4</v>
      </c>
      <c r="K63" s="166" t="e">
        <f>K62+I63*I59+(1-I59)*J63</f>
        <v>#DIV/0!</v>
      </c>
      <c r="L63" s="131"/>
      <c r="M63" s="131"/>
      <c r="N63" s="131"/>
    </row>
    <row r="64" spans="1:23" x14ac:dyDescent="0.15">
      <c r="A64" s="131"/>
      <c r="B64" s="131"/>
      <c r="C64" s="131"/>
      <c r="D64" s="131"/>
      <c r="E64" s="131"/>
      <c r="F64" s="131"/>
      <c r="G64" s="132"/>
      <c r="H64" s="133"/>
      <c r="I64" s="165"/>
      <c r="J64" s="165"/>
      <c r="K64" s="166"/>
      <c r="L64" s="131"/>
      <c r="M64" s="131"/>
      <c r="N64" s="131"/>
    </row>
    <row r="65" spans="1:18" ht="14.25" x14ac:dyDescent="0.15">
      <c r="A65" s="131"/>
      <c r="B65" s="172" t="s">
        <v>231</v>
      </c>
      <c r="C65" s="173" t="s">
        <v>232</v>
      </c>
      <c r="D65" s="173" t="s">
        <v>233</v>
      </c>
      <c r="E65" s="173" t="s">
        <v>234</v>
      </c>
      <c r="F65" s="173" t="s">
        <v>235</v>
      </c>
      <c r="G65" s="173" t="s">
        <v>236</v>
      </c>
      <c r="H65" s="174"/>
      <c r="I65" s="189" t="s">
        <v>231</v>
      </c>
      <c r="J65" s="190" t="s">
        <v>237</v>
      </c>
      <c r="K65" s="190" t="s">
        <v>233</v>
      </c>
      <c r="L65" s="190" t="s">
        <v>234</v>
      </c>
      <c r="M65" s="190" t="s">
        <v>238</v>
      </c>
    </row>
    <row r="66" spans="1:18" ht="14.25" x14ac:dyDescent="0.15">
      <c r="A66" s="175" t="s">
        <v>226</v>
      </c>
      <c r="B66" s="176">
        <v>0.95</v>
      </c>
      <c r="C66" s="177"/>
      <c r="D66" s="178">
        <f>(1+B66*(F66+G66))*C67</f>
        <v>0</v>
      </c>
      <c r="E66" s="179"/>
      <c r="F66" s="179">
        <f>两市场交易!B20/100</f>
        <v>0</v>
      </c>
      <c r="G66" s="180">
        <v>-4.0000000000000002E-4</v>
      </c>
      <c r="H66" s="180" t="s">
        <v>239</v>
      </c>
      <c r="I66" s="176">
        <v>0.99</v>
      </c>
      <c r="J66" s="177"/>
      <c r="K66" s="178">
        <f>(1+I66*M66)*J67</f>
        <v>0</v>
      </c>
      <c r="L66" s="179"/>
      <c r="M66" s="179">
        <f>两市场交易!C20/100</f>
        <v>0</v>
      </c>
      <c r="N66" s="131"/>
    </row>
    <row r="67" spans="1:18" ht="14.25" x14ac:dyDescent="0.15">
      <c r="A67" s="175" t="s">
        <v>240</v>
      </c>
      <c r="B67" s="176">
        <v>0.95</v>
      </c>
      <c r="C67" s="177">
        <f>两市场交易!B26</f>
        <v>0</v>
      </c>
      <c r="D67" s="178">
        <f t="shared" ref="D67" si="48">(1+B67*(G67+H67))*C68</f>
        <v>0</v>
      </c>
      <c r="E67" s="179"/>
      <c r="F67" s="179"/>
      <c r="G67" s="181"/>
      <c r="H67" s="133"/>
      <c r="I67" s="176">
        <v>0.99</v>
      </c>
      <c r="J67" s="177">
        <f>两市场交易!C26</f>
        <v>0</v>
      </c>
      <c r="K67" s="178">
        <f t="shared" ref="K67" si="49">(1+I67*(N67+O67))*J68</f>
        <v>0</v>
      </c>
      <c r="L67" s="179"/>
      <c r="M67" s="179"/>
      <c r="N67" s="131"/>
    </row>
    <row r="68" spans="1:18" x14ac:dyDescent="0.15">
      <c r="A68" s="131"/>
      <c r="B68" s="131"/>
      <c r="C68" s="131"/>
      <c r="D68" s="131"/>
      <c r="E68" s="131"/>
      <c r="F68" s="131"/>
      <c r="G68" s="132"/>
      <c r="H68" s="133"/>
      <c r="I68" s="165"/>
      <c r="J68" s="165"/>
      <c r="K68" s="166"/>
      <c r="L68" s="131"/>
      <c r="M68" s="131"/>
      <c r="N68" s="131"/>
    </row>
    <row r="69" spans="1:18" x14ac:dyDescent="0.15">
      <c r="A69" s="131"/>
      <c r="B69" s="131"/>
      <c r="C69" s="131"/>
      <c r="D69" s="131"/>
      <c r="E69" s="131"/>
      <c r="F69" s="131"/>
      <c r="G69" s="132"/>
      <c r="H69" s="133"/>
      <c r="I69" s="165"/>
      <c r="J69" s="165"/>
      <c r="K69" s="166"/>
      <c r="L69" s="131"/>
      <c r="M69" s="131"/>
      <c r="N69" s="131"/>
    </row>
    <row r="70" spans="1:18" x14ac:dyDescent="0.15">
      <c r="A70" s="131"/>
      <c r="B70" s="131"/>
      <c r="C70" s="131"/>
      <c r="D70" s="131"/>
      <c r="E70" s="131"/>
      <c r="F70" s="131"/>
      <c r="G70" s="132"/>
      <c r="H70" s="133"/>
      <c r="I70" s="165"/>
      <c r="J70" s="165"/>
      <c r="K70" s="166"/>
      <c r="L70" s="131"/>
      <c r="M70" s="131"/>
      <c r="N70" s="131"/>
    </row>
    <row r="72" spans="1:18" ht="14.25" x14ac:dyDescent="0.15">
      <c r="A72" s="182"/>
      <c r="B72" s="172" t="s">
        <v>231</v>
      </c>
      <c r="C72" s="173" t="s">
        <v>232</v>
      </c>
      <c r="D72" s="173" t="s">
        <v>233</v>
      </c>
      <c r="E72" s="173" t="s">
        <v>241</v>
      </c>
      <c r="F72" s="173" t="s">
        <v>234</v>
      </c>
      <c r="G72" s="173" t="s">
        <v>235</v>
      </c>
      <c r="H72" s="173" t="s">
        <v>236</v>
      </c>
      <c r="I72" s="174"/>
      <c r="J72" s="189" t="s">
        <v>231</v>
      </c>
      <c r="K72" s="190" t="s">
        <v>237</v>
      </c>
      <c r="L72" s="190" t="s">
        <v>233</v>
      </c>
      <c r="M72" s="190" t="s">
        <v>241</v>
      </c>
      <c r="N72" s="190" t="s">
        <v>234</v>
      </c>
      <c r="O72" s="190" t="s">
        <v>238</v>
      </c>
      <c r="Q72" s="192" t="s">
        <v>242</v>
      </c>
      <c r="R72" s="192" t="s">
        <v>243</v>
      </c>
    </row>
    <row r="73" spans="1:18" ht="14.25" x14ac:dyDescent="0.15">
      <c r="A73" s="183">
        <v>44090</v>
      </c>
      <c r="B73" s="176">
        <v>0.95</v>
      </c>
      <c r="C73" s="177"/>
      <c r="D73" s="182"/>
      <c r="E73" s="182"/>
      <c r="F73" s="179"/>
      <c r="G73" s="179"/>
      <c r="H73" s="179"/>
      <c r="I73" s="174"/>
      <c r="J73" s="176">
        <v>0.99</v>
      </c>
      <c r="K73" s="177"/>
      <c r="L73" s="182"/>
      <c r="M73" s="182"/>
      <c r="N73" s="186"/>
      <c r="O73" s="186"/>
      <c r="Q73" s="165" t="e">
        <f t="shared" ref="Q73:Q83" si="50">D73/C73-1</f>
        <v>#DIV/0!</v>
      </c>
      <c r="R73" s="165" t="e">
        <f t="shared" ref="R73:R89" si="51">L73/K73-1</f>
        <v>#DIV/0!</v>
      </c>
    </row>
    <row r="74" spans="1:18" ht="14.25" x14ac:dyDescent="0.15">
      <c r="A74" s="183">
        <v>44089</v>
      </c>
      <c r="B74" s="176">
        <v>0.95</v>
      </c>
      <c r="C74" s="177"/>
      <c r="D74" s="182"/>
      <c r="E74" s="182"/>
      <c r="F74" s="179"/>
      <c r="G74" s="179"/>
      <c r="H74" s="179"/>
      <c r="I74" s="174"/>
      <c r="J74" s="176">
        <v>0.99</v>
      </c>
      <c r="K74" s="177"/>
      <c r="L74" s="182"/>
      <c r="M74" s="182"/>
      <c r="N74" s="186"/>
      <c r="O74" s="186"/>
      <c r="Q74" s="165" t="e">
        <f t="shared" si="50"/>
        <v>#DIV/0!</v>
      </c>
      <c r="R74" s="165" t="e">
        <f t="shared" si="51"/>
        <v>#DIV/0!</v>
      </c>
    </row>
    <row r="75" spans="1:18" ht="14.25" x14ac:dyDescent="0.15">
      <c r="A75" s="183">
        <v>44088</v>
      </c>
      <c r="B75" s="176">
        <v>0.95</v>
      </c>
      <c r="C75" s="177"/>
      <c r="D75" s="182"/>
      <c r="E75" s="182"/>
      <c r="F75" s="179"/>
      <c r="G75" s="179"/>
      <c r="H75" s="179"/>
      <c r="I75" s="174"/>
      <c r="J75" s="176">
        <v>0.99</v>
      </c>
      <c r="K75" s="177"/>
      <c r="L75" s="182"/>
      <c r="M75" s="182"/>
      <c r="N75" s="186"/>
      <c r="O75" s="186"/>
      <c r="Q75" s="165" t="e">
        <f t="shared" si="50"/>
        <v>#DIV/0!</v>
      </c>
      <c r="R75" s="165" t="e">
        <f t="shared" si="51"/>
        <v>#DIV/0!</v>
      </c>
    </row>
    <row r="76" spans="1:18" ht="14.25" x14ac:dyDescent="0.15">
      <c r="A76" s="183">
        <v>44087</v>
      </c>
      <c r="B76" s="176">
        <v>0.95</v>
      </c>
      <c r="C76" s="177"/>
      <c r="D76" s="182"/>
      <c r="E76" s="182"/>
      <c r="F76" s="179"/>
      <c r="G76" s="179"/>
      <c r="H76" s="179"/>
      <c r="I76" s="174"/>
      <c r="J76" s="176">
        <v>0.99</v>
      </c>
      <c r="K76" s="177"/>
      <c r="L76" s="182"/>
      <c r="M76" s="182"/>
      <c r="N76" s="186"/>
      <c r="O76" s="186"/>
      <c r="Q76" s="165" t="e">
        <f t="shared" si="50"/>
        <v>#DIV/0!</v>
      </c>
      <c r="R76" s="165" t="e">
        <f t="shared" si="51"/>
        <v>#DIV/0!</v>
      </c>
    </row>
    <row r="77" spans="1:18" ht="14.25" x14ac:dyDescent="0.15">
      <c r="A77" s="183">
        <v>44086</v>
      </c>
      <c r="B77" s="176">
        <v>0.95</v>
      </c>
      <c r="C77" s="177"/>
      <c r="D77" s="182"/>
      <c r="E77" s="182"/>
      <c r="F77" s="179"/>
      <c r="G77" s="179"/>
      <c r="H77" s="179"/>
      <c r="I77" s="174"/>
      <c r="J77" s="176">
        <v>0.99</v>
      </c>
      <c r="K77" s="177"/>
      <c r="L77" s="182"/>
      <c r="M77" s="182"/>
      <c r="N77" s="186"/>
      <c r="O77" s="186"/>
      <c r="Q77" s="165" t="e">
        <f t="shared" si="50"/>
        <v>#DIV/0!</v>
      </c>
      <c r="R77" s="165" t="e">
        <f t="shared" si="51"/>
        <v>#DIV/0!</v>
      </c>
    </row>
    <row r="78" spans="1:18" ht="14.25" x14ac:dyDescent="0.15">
      <c r="A78" s="183">
        <v>44085</v>
      </c>
      <c r="B78" s="176">
        <v>0.95</v>
      </c>
      <c r="C78" s="177"/>
      <c r="D78" s="182"/>
      <c r="E78" s="182"/>
      <c r="F78" s="179"/>
      <c r="G78" s="179"/>
      <c r="H78" s="179"/>
      <c r="I78" s="174"/>
      <c r="J78" s="176">
        <v>0.99</v>
      </c>
      <c r="K78" s="177"/>
      <c r="L78" s="182"/>
      <c r="M78" s="182"/>
      <c r="N78" s="186"/>
      <c r="O78" s="186"/>
      <c r="Q78" s="165" t="e">
        <f t="shared" si="50"/>
        <v>#DIV/0!</v>
      </c>
      <c r="R78" s="165" t="e">
        <f t="shared" si="51"/>
        <v>#DIV/0!</v>
      </c>
    </row>
    <row r="79" spans="1:18" ht="14.25" x14ac:dyDescent="0.15">
      <c r="A79" s="183">
        <v>44084</v>
      </c>
      <c r="B79" s="176">
        <v>0.95</v>
      </c>
      <c r="C79" s="177"/>
      <c r="D79" s="182"/>
      <c r="E79" s="182"/>
      <c r="F79" s="179"/>
      <c r="G79" s="179"/>
      <c r="H79" s="179"/>
      <c r="I79" s="174"/>
      <c r="J79" s="176">
        <v>0.99</v>
      </c>
      <c r="K79" s="177"/>
      <c r="L79" s="182"/>
      <c r="M79" s="182"/>
      <c r="N79" s="186"/>
      <c r="O79" s="186"/>
      <c r="Q79" s="165" t="e">
        <f t="shared" si="50"/>
        <v>#DIV/0!</v>
      </c>
      <c r="R79" s="165" t="e">
        <f t="shared" si="51"/>
        <v>#DIV/0!</v>
      </c>
    </row>
    <row r="80" spans="1:18" ht="14.25" x14ac:dyDescent="0.15">
      <c r="A80" s="183">
        <v>44083</v>
      </c>
      <c r="B80" s="176">
        <v>0.95</v>
      </c>
      <c r="C80" s="177"/>
      <c r="D80" s="182"/>
      <c r="E80" s="182"/>
      <c r="F80" s="179"/>
      <c r="G80" s="179"/>
      <c r="H80" s="179"/>
      <c r="I80" s="174"/>
      <c r="J80" s="176">
        <v>0.99</v>
      </c>
      <c r="K80" s="177"/>
      <c r="L80" s="182"/>
      <c r="M80" s="182"/>
      <c r="N80" s="186"/>
      <c r="O80" s="186"/>
      <c r="Q80" s="165" t="e">
        <f t="shared" si="50"/>
        <v>#DIV/0!</v>
      </c>
      <c r="R80" s="165" t="e">
        <f t="shared" si="51"/>
        <v>#DIV/0!</v>
      </c>
    </row>
    <row r="81" spans="1:18" ht="14.25" x14ac:dyDescent="0.15">
      <c r="A81" s="183">
        <v>44082</v>
      </c>
      <c r="B81" s="176">
        <v>0.95</v>
      </c>
      <c r="C81" s="177"/>
      <c r="D81" s="178">
        <f>(1+B81*(G81+H81))*C82</f>
        <v>1.79058308</v>
      </c>
      <c r="E81" s="182"/>
      <c r="F81" s="179">
        <v>-3.1099999999999999E-2</v>
      </c>
      <c r="G81" s="179">
        <v>-3.1199999999999999E-2</v>
      </c>
      <c r="H81" s="179">
        <v>-4.0000000000000002E-4</v>
      </c>
      <c r="I81" s="174"/>
      <c r="J81" s="176">
        <v>0.99</v>
      </c>
      <c r="K81" s="177"/>
      <c r="L81" s="178">
        <f>(1+J81*O81)*K82</f>
        <v>1.9507249369999999</v>
      </c>
      <c r="M81" s="182"/>
      <c r="N81" s="186">
        <v>-2.87E-2</v>
      </c>
      <c r="O81" s="186">
        <v>-2.93E-2</v>
      </c>
      <c r="Q81" s="165" t="e">
        <f t="shared" si="50"/>
        <v>#DIV/0!</v>
      </c>
      <c r="R81" s="165" t="e">
        <f t="shared" si="51"/>
        <v>#DIV/0!</v>
      </c>
    </row>
    <row r="82" spans="1:18" ht="14.25" x14ac:dyDescent="0.15">
      <c r="A82" s="183">
        <v>44081</v>
      </c>
      <c r="B82" s="176">
        <v>0.95</v>
      </c>
      <c r="C82" s="177">
        <v>1.8460000000000001</v>
      </c>
      <c r="D82" s="178">
        <f t="shared" ref="D82:D105" si="52">(1+B82*(G82+H82))*C83</f>
        <v>1.8455836800000001</v>
      </c>
      <c r="E82" s="182"/>
      <c r="F82" s="179">
        <v>-0.01</v>
      </c>
      <c r="G82" s="179">
        <v>-1.0800000000000001E-2</v>
      </c>
      <c r="H82" s="179">
        <v>4.0000000000000002E-4</v>
      </c>
      <c r="I82" s="174"/>
      <c r="J82" s="176">
        <v>0.99</v>
      </c>
      <c r="K82" s="177">
        <v>2.0089999999999999</v>
      </c>
      <c r="L82" s="178">
        <f>(1+J82*O82)*K83</f>
        <v>2.0090898542000004</v>
      </c>
      <c r="M82" s="182"/>
      <c r="N82" s="186">
        <v>-9.9000000000000008E-3</v>
      </c>
      <c r="O82" s="186">
        <v>-1.0699999999999999E-2</v>
      </c>
      <c r="Q82" s="165">
        <f t="shared" si="50"/>
        <v>-2.2552546045506716E-4</v>
      </c>
      <c r="R82" s="165">
        <f t="shared" si="51"/>
        <v>4.4725833748371358E-5</v>
      </c>
    </row>
    <row r="83" spans="1:18" ht="14.25" x14ac:dyDescent="0.15">
      <c r="A83" s="183">
        <v>44078</v>
      </c>
      <c r="B83" s="176">
        <v>0.95</v>
      </c>
      <c r="C83" s="177">
        <v>1.8640000000000001</v>
      </c>
      <c r="D83" s="178">
        <f t="shared" si="52"/>
        <v>1.863569445</v>
      </c>
      <c r="E83" s="182"/>
      <c r="F83" s="179">
        <v>-5.0000000000000001E-3</v>
      </c>
      <c r="G83" s="179">
        <v>-5.8999999999999999E-3</v>
      </c>
      <c r="H83" s="179">
        <v>5.9999999999999995E-4</v>
      </c>
      <c r="I83" s="174"/>
      <c r="J83" s="176">
        <v>0.99</v>
      </c>
      <c r="K83" s="177">
        <v>2.0306000000000002</v>
      </c>
      <c r="L83" s="178">
        <f t="shared" ref="L83:L105" si="53">(1+J83*O83)*K84</f>
        <v>2.0309031384000003</v>
      </c>
      <c r="M83" s="182"/>
      <c r="N83" s="186">
        <v>-9.7000000000000003E-3</v>
      </c>
      <c r="O83" s="186">
        <v>-9.7999999999999997E-3</v>
      </c>
      <c r="Q83" s="165">
        <f t="shared" si="50"/>
        <v>-2.3098444206015589E-4</v>
      </c>
      <c r="R83" s="165">
        <f t="shared" si="51"/>
        <v>1.4928513739786986E-4</v>
      </c>
    </row>
    <row r="84" spans="1:18" ht="14.25" x14ac:dyDescent="0.15">
      <c r="A84" s="183">
        <v>44077</v>
      </c>
      <c r="B84" s="176">
        <v>0.95</v>
      </c>
      <c r="C84" s="177">
        <v>1.873</v>
      </c>
      <c r="D84" s="178">
        <f t="shared" si="52"/>
        <v>1.8726833249999999</v>
      </c>
      <c r="E84" s="182"/>
      <c r="F84" s="179">
        <v>-3.3000000000000002E-2</v>
      </c>
      <c r="G84" s="179">
        <v>-3.3099999999999997E-2</v>
      </c>
      <c r="H84" s="179">
        <v>-8.0000000000000004E-4</v>
      </c>
      <c r="I84" s="174"/>
      <c r="J84" s="176">
        <v>0.99</v>
      </c>
      <c r="K84" s="177">
        <v>2.0508000000000002</v>
      </c>
      <c r="L84" s="178">
        <f t="shared" si="53"/>
        <v>2.0506584543999997</v>
      </c>
      <c r="M84" s="182"/>
      <c r="N84" s="186">
        <v>-3.4500000000000003E-2</v>
      </c>
      <c r="O84" s="186">
        <v>-3.5200000000000002E-2</v>
      </c>
      <c r="Q84" s="165">
        <f t="shared" ref="Q84:Q118" si="54">D84/C84-1</f>
        <v>-1.6907367859053668E-4</v>
      </c>
      <c r="R84" s="165">
        <f t="shared" si="51"/>
        <v>-6.9019699629691011E-5</v>
      </c>
    </row>
    <row r="85" spans="1:18" ht="14.25" x14ac:dyDescent="0.15">
      <c r="A85" s="183">
        <v>44076</v>
      </c>
      <c r="B85" s="182">
        <v>0.97</v>
      </c>
      <c r="C85" s="182">
        <v>1.9350000000000001</v>
      </c>
      <c r="D85" s="178">
        <f t="shared" si="52"/>
        <v>1.936684098</v>
      </c>
      <c r="E85" s="182"/>
      <c r="F85" s="184">
        <v>5.0000000000000001E-4</v>
      </c>
      <c r="G85" s="184">
        <v>1.1000000000000001E-3</v>
      </c>
      <c r="H85" s="184">
        <v>-1.8E-3</v>
      </c>
      <c r="I85" s="174"/>
      <c r="J85" s="176">
        <v>0.99</v>
      </c>
      <c r="K85" s="182">
        <v>2.1246999999999998</v>
      </c>
      <c r="L85" s="178">
        <f t="shared" si="53"/>
        <v>2.12444502</v>
      </c>
      <c r="M85" s="182"/>
      <c r="N85" s="184">
        <v>1.8E-3</v>
      </c>
      <c r="O85" s="184">
        <v>2.5000000000000001E-3</v>
      </c>
      <c r="Q85" s="165">
        <f t="shared" si="54"/>
        <v>8.703348837209024E-4</v>
      </c>
      <c r="R85" s="165">
        <f t="shared" si="51"/>
        <v>-1.2000753047480828E-4</v>
      </c>
    </row>
    <row r="86" spans="1:18" ht="14.25" x14ac:dyDescent="0.15">
      <c r="A86" s="183">
        <v>44075</v>
      </c>
      <c r="B86" s="182">
        <v>0.97</v>
      </c>
      <c r="C86" s="182">
        <v>1.9379999999999999</v>
      </c>
      <c r="D86" s="178">
        <f t="shared" si="52"/>
        <v>1.936284471</v>
      </c>
      <c r="E86" s="182"/>
      <c r="F86" s="184">
        <v>3.1099999999999999E-2</v>
      </c>
      <c r="G86" s="184">
        <v>3.1899999999999998E-2</v>
      </c>
      <c r="H86" s="184">
        <v>-1.6000000000000001E-3</v>
      </c>
      <c r="I86" s="174"/>
      <c r="J86" s="176">
        <v>0.99</v>
      </c>
      <c r="K86" s="182">
        <v>2.1192000000000002</v>
      </c>
      <c r="L86" s="178">
        <f t="shared" si="53"/>
        <v>2.1188473734000004</v>
      </c>
      <c r="M86" s="182"/>
      <c r="N86" s="184">
        <v>2.9000000000000001E-2</v>
      </c>
      <c r="O86" s="184">
        <v>2.8199999999999999E-2</v>
      </c>
      <c r="Q86" s="165">
        <f t="shared" si="54"/>
        <v>-8.8520588235285746E-4</v>
      </c>
      <c r="R86" s="165">
        <f t="shared" si="51"/>
        <v>-1.663960928651731E-4</v>
      </c>
    </row>
    <row r="87" spans="1:18" ht="14.25" x14ac:dyDescent="0.15">
      <c r="A87" s="183">
        <v>44074</v>
      </c>
      <c r="B87" s="182">
        <v>0.97</v>
      </c>
      <c r="C87" s="182">
        <v>1.881</v>
      </c>
      <c r="D87" s="178">
        <f t="shared" si="52"/>
        <v>1.882755212</v>
      </c>
      <c r="E87" s="182"/>
      <c r="F87" s="184">
        <v>-2.1999999999999999E-2</v>
      </c>
      <c r="G87" s="184">
        <v>-1.7899999999999999E-2</v>
      </c>
      <c r="H87" s="184">
        <v>-4.1999999999999997E-3</v>
      </c>
      <c r="I87" s="174"/>
      <c r="J87" s="176">
        <v>0.99</v>
      </c>
      <c r="K87" s="182">
        <v>2.0613000000000001</v>
      </c>
      <c r="L87" s="178">
        <f t="shared" si="53"/>
        <v>2.0614674045000001</v>
      </c>
      <c r="M87" s="182"/>
      <c r="N87" s="184">
        <v>-2.1499999999999998E-2</v>
      </c>
      <c r="O87" s="184">
        <v>-2.1499999999999998E-2</v>
      </c>
      <c r="Q87" s="165">
        <f t="shared" si="54"/>
        <v>9.3312706007431245E-4</v>
      </c>
      <c r="R87" s="165">
        <f t="shared" si="51"/>
        <v>8.1213069422103601E-5</v>
      </c>
    </row>
    <row r="88" spans="1:18" ht="14.25" x14ac:dyDescent="0.15">
      <c r="A88" s="183">
        <v>44071</v>
      </c>
      <c r="B88" s="176">
        <v>0.97</v>
      </c>
      <c r="C88" s="177">
        <v>1.9239999999999999</v>
      </c>
      <c r="D88" s="178">
        <f t="shared" si="52"/>
        <v>1.9230972419999999</v>
      </c>
      <c r="E88" s="182"/>
      <c r="F88" s="179">
        <v>5.5999999999999999E-3</v>
      </c>
      <c r="G88" s="179">
        <v>5.1000000000000004E-3</v>
      </c>
      <c r="H88" s="179">
        <v>-2.0000000000000001E-4</v>
      </c>
      <c r="I88" s="174"/>
      <c r="J88" s="176">
        <v>0.99</v>
      </c>
      <c r="K88" s="177">
        <v>2.1063000000000001</v>
      </c>
      <c r="L88" s="178">
        <f t="shared" si="53"/>
        <v>2.1066041668000004</v>
      </c>
      <c r="M88" s="182"/>
      <c r="N88" s="186">
        <v>-3.7000000000000002E-3</v>
      </c>
      <c r="O88" s="186">
        <v>-4.1999999999999997E-3</v>
      </c>
      <c r="Q88" s="165">
        <f t="shared" si="54"/>
        <v>-4.6920893970892052E-4</v>
      </c>
      <c r="R88" s="165">
        <f t="shared" si="51"/>
        <v>1.444081090065108E-4</v>
      </c>
    </row>
    <row r="89" spans="1:18" ht="14.25" x14ac:dyDescent="0.15">
      <c r="A89" s="183">
        <v>44070</v>
      </c>
      <c r="B89" s="176">
        <v>0.97</v>
      </c>
      <c r="C89" s="177">
        <v>1.9139999999999999</v>
      </c>
      <c r="D89" s="178">
        <f t="shared" si="52"/>
        <v>1.917043305</v>
      </c>
      <c r="E89" s="182">
        <v>1.9139999999999999</v>
      </c>
      <c r="F89" s="179">
        <v>2.3999999999999998E-3</v>
      </c>
      <c r="G89" s="179">
        <v>3.5999999999999999E-3</v>
      </c>
      <c r="H89" s="179">
        <v>-2.5000000000000001E-3</v>
      </c>
      <c r="I89" s="174"/>
      <c r="J89" s="176">
        <v>0.99</v>
      </c>
      <c r="K89" s="177">
        <v>2.1154000000000002</v>
      </c>
      <c r="L89" s="178">
        <f t="shared" si="53"/>
        <v>2.1153619296000001</v>
      </c>
      <c r="M89" s="182">
        <v>2.1154000000000002</v>
      </c>
      <c r="N89" s="186">
        <v>-2E-3</v>
      </c>
      <c r="O89" s="186">
        <v>-2.3999999999999998E-3</v>
      </c>
      <c r="Q89" s="165">
        <f t="shared" si="54"/>
        <v>1.5900235109718164E-3</v>
      </c>
      <c r="R89" s="165">
        <f t="shared" si="51"/>
        <v>-1.7996785477980559E-5</v>
      </c>
    </row>
    <row r="90" spans="1:18" ht="14.25" x14ac:dyDescent="0.15">
      <c r="A90" s="183">
        <v>44069</v>
      </c>
      <c r="B90" s="176">
        <v>0.97</v>
      </c>
      <c r="C90" s="177">
        <v>1.915</v>
      </c>
      <c r="D90" s="178">
        <f t="shared" si="52"/>
        <v>1.9164566699999999</v>
      </c>
      <c r="E90" s="182">
        <v>1.9120999999999999</v>
      </c>
      <c r="F90" s="179">
        <v>6.8999999999999999E-3</v>
      </c>
      <c r="G90" s="179">
        <v>7.7000000000000002E-3</v>
      </c>
      <c r="H90" s="179">
        <v>-1.5E-3</v>
      </c>
      <c r="I90" s="174"/>
      <c r="J90" s="176">
        <v>0.99</v>
      </c>
      <c r="K90" s="177">
        <v>2.1204000000000001</v>
      </c>
      <c r="L90" s="178">
        <f t="shared" si="53"/>
        <v>2.1204697910000001</v>
      </c>
      <c r="M90" s="182">
        <v>2.1175999999999999</v>
      </c>
      <c r="N90" s="186">
        <v>1.0800000000000001E-2</v>
      </c>
      <c r="O90" s="186">
        <v>1.15E-2</v>
      </c>
      <c r="Q90" s="165">
        <f t="shared" si="54"/>
        <v>7.606631853784851E-4</v>
      </c>
      <c r="R90" s="165">
        <f t="shared" ref="R90:R118" si="55">L90/K90-1</f>
        <v>3.2914072816359052E-5</v>
      </c>
    </row>
    <row r="91" spans="1:18" ht="14.25" x14ac:dyDescent="0.15">
      <c r="A91" s="183">
        <v>44068</v>
      </c>
      <c r="B91" s="176">
        <v>0.97</v>
      </c>
      <c r="C91" s="177">
        <v>1.905</v>
      </c>
      <c r="D91" s="178">
        <f t="shared" si="52"/>
        <v>1.902009198</v>
      </c>
      <c r="E91" s="182">
        <v>1.9004000000000001</v>
      </c>
      <c r="F91" s="179">
        <v>9.1999999999999998E-3</v>
      </c>
      <c r="G91" s="179">
        <v>8.3999999999999995E-3</v>
      </c>
      <c r="H91" s="179">
        <v>-2.0000000000000001E-4</v>
      </c>
      <c r="I91" s="174"/>
      <c r="J91" s="176">
        <v>0.99</v>
      </c>
      <c r="K91" s="177">
        <v>2.0966</v>
      </c>
      <c r="L91" s="178">
        <f t="shared" si="53"/>
        <v>2.0959884136000002</v>
      </c>
      <c r="M91" s="182">
        <v>2.0958000000000001</v>
      </c>
      <c r="N91" s="186">
        <v>1.2500000000000001E-2</v>
      </c>
      <c r="O91" s="186">
        <v>1.1299999999999999E-2</v>
      </c>
      <c r="Q91" s="165">
        <f t="shared" si="54"/>
        <v>-1.5699748031495764E-3</v>
      </c>
      <c r="R91" s="165">
        <f t="shared" si="55"/>
        <v>-2.9170390155475179E-4</v>
      </c>
    </row>
    <row r="92" spans="1:18" ht="14.25" x14ac:dyDescent="0.15">
      <c r="A92" s="183">
        <v>44067</v>
      </c>
      <c r="B92" s="176">
        <v>0.95</v>
      </c>
      <c r="C92" s="177">
        <v>1.887</v>
      </c>
      <c r="D92" s="178">
        <f t="shared" si="52"/>
        <v>1.8856227999999999</v>
      </c>
      <c r="E92" s="182">
        <v>1.8832</v>
      </c>
      <c r="F92" s="179">
        <v>2.7E-2</v>
      </c>
      <c r="G92" s="179">
        <v>2.4799999999999999E-2</v>
      </c>
      <c r="H92" s="179">
        <v>1.2999999999999999E-3</v>
      </c>
      <c r="I92" s="174"/>
      <c r="J92" s="176">
        <v>0.99</v>
      </c>
      <c r="K92" s="177">
        <v>2.0728</v>
      </c>
      <c r="L92" s="178">
        <f t="shared" si="53"/>
        <v>2.0708578520000001</v>
      </c>
      <c r="M92" s="182">
        <v>2.0750999999999999</v>
      </c>
      <c r="N92" s="186">
        <v>4.2500000000000003E-2</v>
      </c>
      <c r="O92" s="186">
        <v>4.2099999999999999E-2</v>
      </c>
      <c r="Q92" s="165">
        <f t="shared" si="54"/>
        <v>-7.2983571807105907E-4</v>
      </c>
      <c r="R92" s="165">
        <f t="shared" si="55"/>
        <v>-9.3696835198764372E-4</v>
      </c>
    </row>
    <row r="93" spans="1:18" ht="14.25" x14ac:dyDescent="0.15">
      <c r="A93" s="183">
        <v>44064</v>
      </c>
      <c r="B93" s="176">
        <v>0.95</v>
      </c>
      <c r="C93" s="177">
        <v>1.84</v>
      </c>
      <c r="D93" s="178">
        <f t="shared" si="52"/>
        <v>1.8410219400000001</v>
      </c>
      <c r="E93" s="182">
        <v>1.8463000000000001</v>
      </c>
      <c r="F93" s="179">
        <v>2.9999999999999997E-4</v>
      </c>
      <c r="G93" s="179">
        <v>6.9999999999999999E-4</v>
      </c>
      <c r="H93" s="179">
        <v>-2.3999999999999998E-3</v>
      </c>
      <c r="I93" s="174"/>
      <c r="J93" s="176">
        <v>0.99</v>
      </c>
      <c r="K93" s="177">
        <v>1.988</v>
      </c>
      <c r="L93" s="178">
        <f t="shared" si="53"/>
        <v>1.9883441999999998</v>
      </c>
      <c r="M93" s="182">
        <v>1.9839</v>
      </c>
      <c r="N93" s="185">
        <v>1.37E-2</v>
      </c>
      <c r="O93" s="185">
        <v>1.2E-2</v>
      </c>
      <c r="Q93" s="165">
        <f t="shared" si="54"/>
        <v>5.5540217391314428E-4</v>
      </c>
      <c r="R93" s="165">
        <f t="shared" si="55"/>
        <v>1.7313883299796551E-4</v>
      </c>
    </row>
    <row r="94" spans="1:18" ht="14.25" x14ac:dyDescent="0.15">
      <c r="A94" s="183">
        <v>44063</v>
      </c>
      <c r="B94" s="176">
        <v>0.95</v>
      </c>
      <c r="C94" s="177">
        <v>1.8440000000000001</v>
      </c>
      <c r="D94" s="178">
        <f t="shared" si="52"/>
        <v>1.8448476899999999</v>
      </c>
      <c r="E94" s="182">
        <v>1.8408</v>
      </c>
      <c r="F94" s="179">
        <v>2.7000000000000001E-3</v>
      </c>
      <c r="G94" s="179">
        <v>6.9999999999999999E-4</v>
      </c>
      <c r="H94" s="179">
        <v>1.5E-3</v>
      </c>
      <c r="I94" s="174"/>
      <c r="J94" s="176">
        <v>0.99</v>
      </c>
      <c r="K94" s="177">
        <v>1.9650000000000001</v>
      </c>
      <c r="L94" s="178">
        <f t="shared" si="53"/>
        <v>1.9653458122</v>
      </c>
      <c r="M94" s="182">
        <v>1.9682999999999999</v>
      </c>
      <c r="N94" s="186">
        <v>2.5000000000000001E-3</v>
      </c>
      <c r="O94" s="186">
        <v>2.5999999999999999E-3</v>
      </c>
      <c r="Q94" s="165">
        <f t="shared" si="54"/>
        <v>4.5970173535780923E-4</v>
      </c>
      <c r="R94" s="165">
        <f t="shared" si="55"/>
        <v>1.7598585241729303E-4</v>
      </c>
    </row>
    <row r="95" spans="1:18" ht="14.25" x14ac:dyDescent="0.15">
      <c r="A95" s="183">
        <v>44062</v>
      </c>
      <c r="B95" s="176">
        <v>0.95</v>
      </c>
      <c r="C95" s="177">
        <v>1.841</v>
      </c>
      <c r="D95" s="178">
        <f t="shared" si="52"/>
        <v>1.8401955000000001</v>
      </c>
      <c r="E95" s="182">
        <v>1.8439000000000001</v>
      </c>
      <c r="F95" s="179">
        <v>-1.21E-2</v>
      </c>
      <c r="G95" s="179">
        <v>-1.17E-2</v>
      </c>
      <c r="H95" s="179">
        <v>-2.3E-3</v>
      </c>
      <c r="I95" s="174"/>
      <c r="J95" s="176">
        <v>0.99</v>
      </c>
      <c r="K95" s="177">
        <v>1.9602999999999999</v>
      </c>
      <c r="L95" s="178">
        <f t="shared" si="53"/>
        <v>1.9598331792999999</v>
      </c>
      <c r="M95" s="182">
        <v>1.9551000000000001</v>
      </c>
      <c r="N95" s="186">
        <v>-7.1000000000000004E-3</v>
      </c>
      <c r="O95" s="186">
        <v>-7.3000000000000001E-3</v>
      </c>
      <c r="Q95" s="165">
        <f t="shared" si="54"/>
        <v>-4.3699076588799013E-4</v>
      </c>
      <c r="R95" s="165">
        <f t="shared" si="55"/>
        <v>-2.3813737693212378E-4</v>
      </c>
    </row>
    <row r="96" spans="1:18" ht="14.25" x14ac:dyDescent="0.15">
      <c r="A96" s="183">
        <v>44061</v>
      </c>
      <c r="B96" s="176">
        <v>0.95</v>
      </c>
      <c r="C96" s="177">
        <v>1.865</v>
      </c>
      <c r="D96" s="178">
        <f t="shared" si="52"/>
        <v>1.8624681600000002</v>
      </c>
      <c r="E96" s="182">
        <v>1.8607</v>
      </c>
      <c r="F96" s="179">
        <v>2.3E-2</v>
      </c>
      <c r="G96" s="179">
        <v>2.2700000000000001E-2</v>
      </c>
      <c r="H96" s="179">
        <v>-5.0000000000000001E-4</v>
      </c>
      <c r="I96" s="174"/>
      <c r="J96" s="176">
        <v>0.99</v>
      </c>
      <c r="K96" s="177">
        <v>1.9741</v>
      </c>
      <c r="L96" s="178">
        <f t="shared" si="53"/>
        <v>1.9739143249</v>
      </c>
      <c r="M96" s="182">
        <v>1.9730000000000001</v>
      </c>
      <c r="N96" s="186">
        <v>2.1000000000000001E-2</v>
      </c>
      <c r="O96" s="186">
        <v>2.0899999999999998E-2</v>
      </c>
      <c r="Q96" s="165">
        <f t="shared" si="54"/>
        <v>-1.3575549597854009E-3</v>
      </c>
      <c r="R96" s="165">
        <f t="shared" si="55"/>
        <v>-9.4055569626716462E-5</v>
      </c>
    </row>
    <row r="97" spans="1:18" ht="14.25" x14ac:dyDescent="0.15">
      <c r="A97" s="183">
        <v>44060</v>
      </c>
      <c r="B97" s="176">
        <v>0.95</v>
      </c>
      <c r="C97" s="177">
        <v>1.8240000000000001</v>
      </c>
      <c r="D97" s="178">
        <f t="shared" si="52"/>
        <v>1.8233241599999999</v>
      </c>
      <c r="E97" s="182">
        <v>1.8197000000000001</v>
      </c>
      <c r="F97" s="179">
        <v>1.9199999999999998E-2</v>
      </c>
      <c r="G97" s="179">
        <v>1.9E-2</v>
      </c>
      <c r="H97" s="179">
        <v>-5.9999999999999995E-4</v>
      </c>
      <c r="I97" s="174"/>
      <c r="J97" s="176">
        <v>0.99</v>
      </c>
      <c r="K97" s="177">
        <v>1.9339</v>
      </c>
      <c r="L97" s="178">
        <f t="shared" si="53"/>
        <v>1.9342217376999999</v>
      </c>
      <c r="M97" s="182">
        <v>1.9333</v>
      </c>
      <c r="N97" s="186">
        <v>1.2500000000000001E-2</v>
      </c>
      <c r="O97" s="186">
        <v>1.1900000000000001E-2</v>
      </c>
      <c r="Q97" s="165">
        <f t="shared" si="54"/>
        <v>-3.7052631578959883E-4</v>
      </c>
      <c r="R97" s="165">
        <f t="shared" si="55"/>
        <v>1.6636728889807273E-4</v>
      </c>
    </row>
    <row r="98" spans="1:18" ht="14.25" x14ac:dyDescent="0.15">
      <c r="A98" s="183">
        <v>44057</v>
      </c>
      <c r="B98" s="176">
        <v>0.95</v>
      </c>
      <c r="C98" s="177">
        <v>1.792</v>
      </c>
      <c r="D98" s="178">
        <f t="shared" si="52"/>
        <v>1.7934937949999998</v>
      </c>
      <c r="E98" s="182">
        <v>1.7954000000000001</v>
      </c>
      <c r="F98" s="185">
        <v>-1.47E-2</v>
      </c>
      <c r="G98" s="185">
        <v>-1.5599999999999999E-2</v>
      </c>
      <c r="H98" s="179">
        <v>-2.9999999999999997E-4</v>
      </c>
      <c r="I98" s="174"/>
      <c r="J98" s="176">
        <v>0.99</v>
      </c>
      <c r="K98" s="177">
        <v>1.9117</v>
      </c>
      <c r="L98" s="178">
        <f t="shared" si="53"/>
        <v>1.91161906</v>
      </c>
      <c r="M98" s="182">
        <v>1.9109</v>
      </c>
      <c r="N98" s="185">
        <v>-6.4000000000000003E-3</v>
      </c>
      <c r="O98" s="185">
        <v>-6.4999999999999997E-3</v>
      </c>
      <c r="Q98" s="165">
        <f t="shared" si="54"/>
        <v>8.335909598213842E-4</v>
      </c>
      <c r="R98" s="165">
        <f t="shared" si="55"/>
        <v>-4.2339279175518385E-5</v>
      </c>
    </row>
    <row r="99" spans="1:18" ht="14.25" x14ac:dyDescent="0.15">
      <c r="A99" s="183">
        <v>44056</v>
      </c>
      <c r="B99" s="176">
        <v>0.95</v>
      </c>
      <c r="C99" s="177">
        <v>1.821</v>
      </c>
      <c r="D99" s="178">
        <f t="shared" si="52"/>
        <v>1.8228642849999999</v>
      </c>
      <c r="E99" s="182">
        <v>1.8290999999999999</v>
      </c>
      <c r="F99" s="179">
        <v>-7.9000000000000008E-3</v>
      </c>
      <c r="G99" s="179">
        <v>-5.7000000000000002E-3</v>
      </c>
      <c r="H99" s="179">
        <v>-2.3999999999999998E-3</v>
      </c>
      <c r="I99" s="174"/>
      <c r="J99" s="176">
        <v>0.99</v>
      </c>
      <c r="K99" s="177">
        <v>1.9239999999999999</v>
      </c>
      <c r="L99" s="178">
        <f t="shared" si="53"/>
        <v>1.9243112219999998</v>
      </c>
      <c r="M99" s="182">
        <v>1.9194</v>
      </c>
      <c r="N99" s="186">
        <v>-1.2800000000000001E-2</v>
      </c>
      <c r="O99" s="186">
        <v>-1.2999999999999999E-2</v>
      </c>
      <c r="Q99" s="165">
        <f t="shared" si="54"/>
        <v>1.0237699066446559E-3</v>
      </c>
      <c r="R99" s="165">
        <f t="shared" si="55"/>
        <v>1.6175779625782205E-4</v>
      </c>
    </row>
    <row r="100" spans="1:18" ht="14.25" x14ac:dyDescent="0.15">
      <c r="A100" s="183">
        <v>44055</v>
      </c>
      <c r="B100" s="176">
        <v>0.95</v>
      </c>
      <c r="C100" s="177">
        <v>1.837</v>
      </c>
      <c r="D100" s="178">
        <f t="shared" si="52"/>
        <v>1.8349817500000001</v>
      </c>
      <c r="E100" s="182">
        <v>1.8365</v>
      </c>
      <c r="F100" s="185">
        <v>8.3000000000000001E-3</v>
      </c>
      <c r="G100" s="185">
        <v>9.1000000000000004E-3</v>
      </c>
      <c r="H100" s="179">
        <v>-1.6000000000000001E-3</v>
      </c>
      <c r="I100" s="174"/>
      <c r="J100" s="176">
        <v>0.99</v>
      </c>
      <c r="K100" s="177">
        <v>1.9494</v>
      </c>
      <c r="L100" s="178">
        <f t="shared" si="53"/>
        <v>1.9491549498</v>
      </c>
      <c r="M100" s="182">
        <v>1.9462999999999999</v>
      </c>
      <c r="N100" s="185">
        <v>1.4E-2</v>
      </c>
      <c r="O100" s="185">
        <v>1.3100000000000001E-2</v>
      </c>
      <c r="Q100" s="165">
        <f t="shared" si="54"/>
        <v>-1.0986663037561017E-3</v>
      </c>
      <c r="R100" s="165">
        <f t="shared" si="55"/>
        <v>-1.2570544783008231E-4</v>
      </c>
    </row>
    <row r="101" spans="1:18" ht="14.25" x14ac:dyDescent="0.15">
      <c r="A101" s="183">
        <v>44054</v>
      </c>
      <c r="B101" s="176">
        <v>0.94</v>
      </c>
      <c r="C101" s="177">
        <v>1.8220000000000001</v>
      </c>
      <c r="D101" s="178">
        <f t="shared" si="52"/>
        <v>1.8217791080000001</v>
      </c>
      <c r="E101" s="182">
        <v>1.8152999999999999</v>
      </c>
      <c r="F101" s="179">
        <v>-3.8999999999999998E-3</v>
      </c>
      <c r="G101" s="179">
        <v>-5.1000000000000004E-3</v>
      </c>
      <c r="H101" s="179">
        <v>8.9999999999999998E-4</v>
      </c>
      <c r="I101" s="174"/>
      <c r="J101" s="176">
        <v>0.99</v>
      </c>
      <c r="K101" s="177">
        <v>1.9241999999999999</v>
      </c>
      <c r="L101" s="178">
        <f t="shared" si="53"/>
        <v>1.9240447892000001</v>
      </c>
      <c r="M101" s="182">
        <v>1.9258999999999999</v>
      </c>
      <c r="N101" s="186">
        <v>5.1000000000000004E-3</v>
      </c>
      <c r="O101" s="186">
        <v>4.4000000000000003E-3</v>
      </c>
      <c r="Q101" s="165">
        <f t="shared" si="54"/>
        <v>-1.2123600439073456E-4</v>
      </c>
      <c r="R101" s="165">
        <f t="shared" si="55"/>
        <v>-8.0662509094553414E-5</v>
      </c>
    </row>
    <row r="102" spans="1:18" ht="14.25" x14ac:dyDescent="0.15">
      <c r="A102" s="183">
        <v>44053</v>
      </c>
      <c r="B102" s="176">
        <v>0.94</v>
      </c>
      <c r="C102" s="177">
        <v>1.829</v>
      </c>
      <c r="D102" s="178">
        <f t="shared" si="52"/>
        <v>1.83023946</v>
      </c>
      <c r="E102" s="182">
        <v>1.8224</v>
      </c>
      <c r="F102" s="179">
        <v>-1.4500000000000001E-2</v>
      </c>
      <c r="G102" s="179">
        <v>-1.77E-2</v>
      </c>
      <c r="H102" s="179">
        <v>3.5000000000000001E-3</v>
      </c>
      <c r="I102" s="174"/>
      <c r="J102" s="176">
        <v>0.99</v>
      </c>
      <c r="K102" s="177">
        <v>1.9157</v>
      </c>
      <c r="L102" s="178">
        <f t="shared" si="53"/>
        <v>1.9157983356999999</v>
      </c>
      <c r="M102" s="182">
        <v>1.9221999999999999</v>
      </c>
      <c r="N102" s="186">
        <v>-1.9300000000000001E-2</v>
      </c>
      <c r="O102" s="186">
        <v>-1.9900000000000001E-2</v>
      </c>
      <c r="Q102" s="165">
        <f t="shared" si="54"/>
        <v>6.7767085839265384E-4</v>
      </c>
      <c r="R102" s="165">
        <f t="shared" si="55"/>
        <v>5.1331471524695971E-5</v>
      </c>
    </row>
    <row r="103" spans="1:18" ht="14.25" x14ac:dyDescent="0.15">
      <c r="A103" s="183">
        <v>44050</v>
      </c>
      <c r="B103" s="176">
        <v>0.94</v>
      </c>
      <c r="C103" s="177">
        <v>1.855</v>
      </c>
      <c r="D103" s="178">
        <f t="shared" si="52"/>
        <v>1.8547107</v>
      </c>
      <c r="E103" s="182">
        <v>1.8587</v>
      </c>
      <c r="F103" s="179">
        <v>-3.9699999999999999E-2</v>
      </c>
      <c r="G103" s="179">
        <v>-4.1099999999999998E-2</v>
      </c>
      <c r="H103" s="179">
        <v>-4.0000000000000002E-4</v>
      </c>
      <c r="I103" s="174"/>
      <c r="J103" s="176">
        <v>0.99</v>
      </c>
      <c r="K103" s="177">
        <v>1.9542999999999999</v>
      </c>
      <c r="L103" s="178">
        <f t="shared" si="53"/>
        <v>1.9544100640000002</v>
      </c>
      <c r="M103" s="182">
        <v>1.9527000000000001</v>
      </c>
      <c r="N103" s="185">
        <v>-4.1599999999999998E-2</v>
      </c>
      <c r="O103" s="185">
        <v>-4.2000000000000003E-2</v>
      </c>
      <c r="Q103" s="165">
        <f t="shared" si="54"/>
        <v>-1.5595687331537711E-4</v>
      </c>
      <c r="R103" s="165">
        <f t="shared" si="55"/>
        <v>5.6318886557882308E-5</v>
      </c>
    </row>
    <row r="104" spans="1:18" ht="14.25" x14ac:dyDescent="0.15">
      <c r="A104" s="183">
        <v>44049</v>
      </c>
      <c r="B104" s="176">
        <v>0.94</v>
      </c>
      <c r="C104" s="177">
        <v>1.93</v>
      </c>
      <c r="D104" s="178">
        <f t="shared" si="52"/>
        <v>1.9301765119999998</v>
      </c>
      <c r="E104" s="182">
        <v>1.9428000000000001</v>
      </c>
      <c r="F104" s="185">
        <v>-1.8E-3</v>
      </c>
      <c r="G104" s="185">
        <v>1.2999999999999999E-3</v>
      </c>
      <c r="H104" s="179">
        <v>-4.4999999999999997E-3</v>
      </c>
      <c r="I104" s="174"/>
      <c r="J104" s="176">
        <v>0.99</v>
      </c>
      <c r="K104" s="177">
        <v>2.0392000000000001</v>
      </c>
      <c r="L104" s="178">
        <f t="shared" si="53"/>
        <v>2.0398408825000001</v>
      </c>
      <c r="M104" s="182">
        <v>2.0304000000000002</v>
      </c>
      <c r="N104" s="185">
        <v>-6.1000000000000004E-3</v>
      </c>
      <c r="O104" s="185">
        <v>-7.4999999999999997E-3</v>
      </c>
      <c r="Q104" s="165">
        <f t="shared" si="54"/>
        <v>9.1456994818495119E-5</v>
      </c>
      <c r="R104" s="165">
        <f t="shared" si="55"/>
        <v>3.1428133581790085E-4</v>
      </c>
    </row>
    <row r="105" spans="1:18" ht="14.25" x14ac:dyDescent="0.15">
      <c r="A105" s="183">
        <v>44048</v>
      </c>
      <c r="B105" s="176">
        <v>0.97</v>
      </c>
      <c r="C105" s="177">
        <v>1.9359999999999999</v>
      </c>
      <c r="D105" s="178">
        <f t="shared" si="52"/>
        <v>1.937245058</v>
      </c>
      <c r="E105" s="182">
        <v>1.9277</v>
      </c>
      <c r="F105" s="185">
        <v>1.7399999999999999E-2</v>
      </c>
      <c r="G105" s="185">
        <v>1.77E-2</v>
      </c>
      <c r="H105" s="179">
        <v>-8.0000000000000004E-4</v>
      </c>
      <c r="I105" s="174" t="s">
        <v>244</v>
      </c>
      <c r="J105" s="176">
        <v>0.99</v>
      </c>
      <c r="K105" s="177">
        <v>2.0550999999999999</v>
      </c>
      <c r="L105" s="178">
        <f t="shared" si="53"/>
        <v>2.0551891604999999</v>
      </c>
      <c r="M105" s="182">
        <v>2.0541</v>
      </c>
      <c r="N105" s="185">
        <v>1.47E-2</v>
      </c>
      <c r="O105" s="185">
        <v>1.43E-2</v>
      </c>
      <c r="Q105" s="165">
        <f t="shared" si="54"/>
        <v>6.4310847107451607E-4</v>
      </c>
      <c r="R105" s="165">
        <f t="shared" si="55"/>
        <v>4.3384993430928276E-5</v>
      </c>
    </row>
    <row r="106" spans="1:18" ht="14.25" x14ac:dyDescent="0.15">
      <c r="A106" s="183">
        <v>44047</v>
      </c>
      <c r="B106" s="176">
        <v>0.97</v>
      </c>
      <c r="C106" s="177">
        <v>1.9059999999999999</v>
      </c>
      <c r="D106" s="178">
        <f t="shared" ref="D106:D115" si="56">(1+B106*F106)*C107</f>
        <v>1.91063648</v>
      </c>
      <c r="E106" s="182">
        <v>1.9113</v>
      </c>
      <c r="F106" s="179">
        <v>1.6799999999999999E-2</v>
      </c>
      <c r="G106" s="179">
        <v>1.83E-2</v>
      </c>
      <c r="H106" s="179">
        <v>-2.5000000000000001E-3</v>
      </c>
      <c r="I106" s="174"/>
      <c r="J106" s="176">
        <v>0.99</v>
      </c>
      <c r="K106" s="177">
        <v>2.0265</v>
      </c>
      <c r="L106" s="178">
        <f>(1+J106*N106)*K107</f>
        <v>2.0278793786999998</v>
      </c>
      <c r="M106" s="182">
        <v>2.0219</v>
      </c>
      <c r="N106" s="185">
        <v>1.9900000000000001E-2</v>
      </c>
      <c r="O106" s="185">
        <v>1.9199999999999998E-2</v>
      </c>
      <c r="Q106" s="165">
        <f t="shared" si="54"/>
        <v>2.4325708289612002E-3</v>
      </c>
      <c r="R106" s="165">
        <f t="shared" si="55"/>
        <v>6.806704663211427E-4</v>
      </c>
    </row>
    <row r="107" spans="1:18" ht="14.25" x14ac:dyDescent="0.15">
      <c r="A107" s="183">
        <v>44046</v>
      </c>
      <c r="B107" s="176">
        <v>0.97</v>
      </c>
      <c r="C107" s="177">
        <v>1.88</v>
      </c>
      <c r="D107" s="178">
        <f t="shared" si="56"/>
        <v>1.881676664</v>
      </c>
      <c r="E107" s="182">
        <v>1.8774</v>
      </c>
      <c r="F107" s="179">
        <v>2.6800000000000001E-2</v>
      </c>
      <c r="G107" s="179">
        <v>2.4E-2</v>
      </c>
      <c r="H107" s="179">
        <v>1.9E-3</v>
      </c>
      <c r="I107" s="174"/>
      <c r="J107" s="176">
        <v>0.99</v>
      </c>
      <c r="K107" s="177">
        <v>1.9886999999999999</v>
      </c>
      <c r="L107" s="178">
        <f t="shared" ref="L107:L115" si="57">(1+J107*N107)*K108</f>
        <v>1.98985955</v>
      </c>
      <c r="M107" s="182">
        <v>1.9928999999999999</v>
      </c>
      <c r="N107" s="186">
        <v>2.5000000000000001E-2</v>
      </c>
      <c r="O107" s="186">
        <v>2.4400000000000002E-2</v>
      </c>
      <c r="Q107" s="165">
        <f t="shared" si="54"/>
        <v>8.9184255319163519E-4</v>
      </c>
      <c r="R107" s="165">
        <f t="shared" si="55"/>
        <v>5.8306934178120606E-4</v>
      </c>
    </row>
    <row r="108" spans="1:18" ht="14.25" x14ac:dyDescent="0.15">
      <c r="A108" s="183">
        <v>44043</v>
      </c>
      <c r="B108" s="176">
        <v>0.97</v>
      </c>
      <c r="C108" s="177">
        <v>1.8340000000000001</v>
      </c>
      <c r="D108" s="178">
        <f t="shared" si="56"/>
        <v>1.8350079039999998</v>
      </c>
      <c r="E108" s="182">
        <v>1.8262</v>
      </c>
      <c r="F108" s="179">
        <v>1.54E-2</v>
      </c>
      <c r="G108" s="179">
        <v>1.55E-2</v>
      </c>
      <c r="H108" s="179">
        <v>-8.0000000000000004E-4</v>
      </c>
      <c r="I108" s="174"/>
      <c r="J108" s="176">
        <v>0.99</v>
      </c>
      <c r="K108" s="177">
        <v>1.9418</v>
      </c>
      <c r="L108" s="178">
        <f t="shared" si="57"/>
        <v>1.9431364160000002</v>
      </c>
      <c r="M108" s="182">
        <v>1.9407000000000001</v>
      </c>
      <c r="N108" s="186">
        <v>3.2000000000000002E-3</v>
      </c>
      <c r="O108" s="186">
        <v>2.7000000000000001E-3</v>
      </c>
      <c r="Q108" s="165">
        <f t="shared" si="54"/>
        <v>5.4956597600863688E-4</v>
      </c>
      <c r="R108" s="165">
        <f t="shared" si="55"/>
        <v>6.88235657637426E-4</v>
      </c>
    </row>
    <row r="109" spans="1:18" ht="14.25" x14ac:dyDescent="0.15">
      <c r="A109" s="183">
        <v>44042</v>
      </c>
      <c r="B109" s="176">
        <v>0.97</v>
      </c>
      <c r="C109" s="177">
        <v>1.8080000000000001</v>
      </c>
      <c r="D109" s="178">
        <f t="shared" si="56"/>
        <v>1.8091221500000001</v>
      </c>
      <c r="E109" s="182">
        <v>1.8121</v>
      </c>
      <c r="F109" s="179">
        <v>-5.0000000000000001E-4</v>
      </c>
      <c r="G109" s="179">
        <v>2.0000000000000001E-4</v>
      </c>
      <c r="H109" s="179">
        <v>-1E-3</v>
      </c>
      <c r="I109" s="174"/>
      <c r="J109" s="176">
        <v>0.99</v>
      </c>
      <c r="K109" s="177">
        <v>1.9370000000000001</v>
      </c>
      <c r="L109" s="178">
        <f t="shared" si="57"/>
        <v>1.9368993840000002</v>
      </c>
      <c r="M109" s="182">
        <v>1.9351</v>
      </c>
      <c r="N109" s="186">
        <v>-4.0000000000000001E-3</v>
      </c>
      <c r="O109" s="186">
        <v>-3.8999999999999998E-3</v>
      </c>
      <c r="Q109" s="165">
        <f t="shared" si="54"/>
        <v>6.2065818584078336E-4</v>
      </c>
      <c r="R109" s="165">
        <f t="shared" si="55"/>
        <v>-5.1944243675716706E-5</v>
      </c>
    </row>
    <row r="110" spans="1:18" ht="14.25" x14ac:dyDescent="0.15">
      <c r="A110" s="183">
        <v>44041</v>
      </c>
      <c r="B110" s="176">
        <v>0.97</v>
      </c>
      <c r="C110" s="177">
        <v>1.81</v>
      </c>
      <c r="D110" s="178">
        <f t="shared" si="56"/>
        <v>1.8092413349999996</v>
      </c>
      <c r="E110" s="182">
        <v>1.8068</v>
      </c>
      <c r="F110" s="179">
        <v>1.0500000000000001E-2</v>
      </c>
      <c r="G110" s="179">
        <v>9.1999999999999998E-3</v>
      </c>
      <c r="H110" s="179">
        <v>1.1000000000000001E-3</v>
      </c>
      <c r="I110" s="174"/>
      <c r="J110" s="176">
        <v>0.99</v>
      </c>
      <c r="K110" s="177">
        <v>1.9446000000000001</v>
      </c>
      <c r="L110" s="178">
        <f t="shared" si="57"/>
        <v>1.9451316935000003</v>
      </c>
      <c r="M110" s="182">
        <v>1.9466000000000001</v>
      </c>
      <c r="N110" s="186">
        <v>8.5000000000000006E-3</v>
      </c>
      <c r="O110" s="186">
        <v>8.0999999999999996E-3</v>
      </c>
      <c r="Q110" s="165">
        <f t="shared" si="54"/>
        <v>-4.1915193370190007E-4</v>
      </c>
      <c r="R110" s="165">
        <f t="shared" si="55"/>
        <v>2.7342049778877886E-4</v>
      </c>
    </row>
    <row r="111" spans="1:18" ht="14.25" x14ac:dyDescent="0.15">
      <c r="A111" s="183">
        <v>44040</v>
      </c>
      <c r="B111" s="176">
        <v>0.97</v>
      </c>
      <c r="C111" s="177">
        <v>1.7909999999999999</v>
      </c>
      <c r="D111" s="178">
        <f t="shared" si="56"/>
        <v>1.792401962</v>
      </c>
      <c r="E111" s="182">
        <v>1.7954000000000001</v>
      </c>
      <c r="F111" s="179">
        <v>6.6E-3</v>
      </c>
      <c r="G111" s="186">
        <v>7.9000000000000008E-3</v>
      </c>
      <c r="H111" s="186">
        <v>-1.9E-3</v>
      </c>
      <c r="I111" s="174"/>
      <c r="J111" s="176">
        <v>0.99</v>
      </c>
      <c r="K111" s="177">
        <v>1.9289000000000001</v>
      </c>
      <c r="L111" s="178">
        <f t="shared" si="57"/>
        <v>1.9281554856000003</v>
      </c>
      <c r="M111" s="182">
        <v>1.9252</v>
      </c>
      <c r="N111" s="186">
        <v>1.26E-2</v>
      </c>
      <c r="O111" s="185">
        <v>1.2800000000000001E-2</v>
      </c>
      <c r="Q111" s="165">
        <f t="shared" si="54"/>
        <v>7.8278168620893318E-4</v>
      </c>
      <c r="R111" s="165">
        <f t="shared" si="55"/>
        <v>-3.8597874436196999E-4</v>
      </c>
    </row>
    <row r="112" spans="1:18" ht="14.25" x14ac:dyDescent="0.15">
      <c r="A112" s="183">
        <v>44039</v>
      </c>
      <c r="B112" s="176">
        <v>0.97</v>
      </c>
      <c r="C112" s="177">
        <v>1.7809999999999999</v>
      </c>
      <c r="D112" s="178">
        <f t="shared" si="56"/>
        <v>1.7844019290000002</v>
      </c>
      <c r="E112" s="182">
        <v>1.7744</v>
      </c>
      <c r="F112" s="179">
        <v>1.37E-2</v>
      </c>
      <c r="G112" s="186">
        <v>1.09E-2</v>
      </c>
      <c r="H112" s="186">
        <v>1.2999999999999999E-3</v>
      </c>
      <c r="I112" s="174"/>
      <c r="J112" s="176">
        <v>0.99</v>
      </c>
      <c r="K112" s="177">
        <v>1.9044000000000001</v>
      </c>
      <c r="L112" s="178">
        <f t="shared" si="57"/>
        <v>1.9073480489999999</v>
      </c>
      <c r="M112" s="182">
        <v>1.9076</v>
      </c>
      <c r="N112" s="186">
        <v>3.0000000000000001E-3</v>
      </c>
      <c r="O112" s="185">
        <v>1.8E-3</v>
      </c>
      <c r="Q112" s="165">
        <f t="shared" si="54"/>
        <v>1.9101229646267814E-3</v>
      </c>
      <c r="R112" s="165">
        <f t="shared" si="55"/>
        <v>1.548019848771176E-3</v>
      </c>
    </row>
    <row r="113" spans="1:18" ht="14.25" x14ac:dyDescent="0.15">
      <c r="A113" s="183">
        <v>44036</v>
      </c>
      <c r="B113" s="176">
        <v>0.97</v>
      </c>
      <c r="C113" s="177">
        <v>1.7609999999999999</v>
      </c>
      <c r="D113" s="178">
        <f t="shared" si="56"/>
        <v>1.7610642000000001</v>
      </c>
      <c r="E113" s="182">
        <v>1.7636000000000001</v>
      </c>
      <c r="F113" s="179">
        <v>-2.23E-2</v>
      </c>
      <c r="G113" s="186">
        <v>-2.3300000000000001E-2</v>
      </c>
      <c r="H113" s="186">
        <v>2.0000000000000001E-4</v>
      </c>
      <c r="I113" s="174"/>
      <c r="J113" s="176">
        <v>0.99</v>
      </c>
      <c r="K113" s="177">
        <v>1.9016999999999999</v>
      </c>
      <c r="L113" s="178">
        <f t="shared" si="57"/>
        <v>1.905256123</v>
      </c>
      <c r="M113" s="182">
        <v>1.9017999999999999</v>
      </c>
      <c r="N113" s="186">
        <v>-2.5499999999999998E-2</v>
      </c>
      <c r="O113" s="186">
        <v>-2.7199999999999998E-2</v>
      </c>
      <c r="Q113" s="165">
        <f t="shared" si="54"/>
        <v>3.6456558773600989E-5</v>
      </c>
      <c r="R113" s="165">
        <f t="shared" si="55"/>
        <v>1.8699705526634691E-3</v>
      </c>
    </row>
    <row r="114" spans="1:18" ht="14.25" x14ac:dyDescent="0.15">
      <c r="A114" s="183">
        <v>44035</v>
      </c>
      <c r="B114" s="176">
        <v>0.97</v>
      </c>
      <c r="C114" s="177">
        <v>1.8</v>
      </c>
      <c r="D114" s="178">
        <f t="shared" si="56"/>
        <v>1.8025633440000002</v>
      </c>
      <c r="E114" s="182">
        <v>1.7965</v>
      </c>
      <c r="F114" s="179">
        <v>-3.0999999999999999E-3</v>
      </c>
      <c r="G114" s="186">
        <v>-7.1000000000000004E-3</v>
      </c>
      <c r="H114" s="186">
        <v>2.8999999999999998E-3</v>
      </c>
      <c r="I114" s="174"/>
      <c r="J114" s="176">
        <v>0.99</v>
      </c>
      <c r="K114" s="177">
        <v>1.9545999999999999</v>
      </c>
      <c r="L114" s="178">
        <f t="shared" si="57"/>
        <v>1.9528914559999999</v>
      </c>
      <c r="M114" s="182">
        <v>1.9593</v>
      </c>
      <c r="N114" s="186">
        <v>1.0500000000000001E-2</v>
      </c>
      <c r="O114" s="186">
        <v>1.0800000000000001E-2</v>
      </c>
      <c r="Q114" s="165">
        <f t="shared" si="54"/>
        <v>1.4240800000000498E-3</v>
      </c>
      <c r="R114" s="165">
        <f t="shared" si="55"/>
        <v>-8.7411439680751268E-4</v>
      </c>
    </row>
    <row r="115" spans="1:18" ht="14.25" x14ac:dyDescent="0.15">
      <c r="A115" s="183">
        <v>44034</v>
      </c>
      <c r="B115" s="176">
        <v>0.97</v>
      </c>
      <c r="C115" s="177">
        <v>1.8080000000000001</v>
      </c>
      <c r="D115" s="178">
        <f t="shared" si="56"/>
        <v>1.8095273760000001</v>
      </c>
      <c r="E115" s="182">
        <v>1.8178000000000001</v>
      </c>
      <c r="F115" s="179">
        <v>-3.1199999999999999E-2</v>
      </c>
      <c r="G115" s="186">
        <v>-2.98E-2</v>
      </c>
      <c r="H115" s="186">
        <v>-2.0999999999999999E-3</v>
      </c>
      <c r="I115" s="174"/>
      <c r="J115" s="176">
        <v>0.99</v>
      </c>
      <c r="K115" s="177">
        <v>1.9328000000000001</v>
      </c>
      <c r="L115" s="178">
        <f t="shared" si="57"/>
        <v>1.9348009784000002</v>
      </c>
      <c r="M115" s="182">
        <v>1.9278999999999999</v>
      </c>
      <c r="N115" s="186">
        <v>-3.4099999999999998E-2</v>
      </c>
      <c r="O115" s="186">
        <v>-3.5099999999999999E-2</v>
      </c>
      <c r="Q115" s="165">
        <f t="shared" si="54"/>
        <v>8.447876106194574E-4</v>
      </c>
      <c r="R115" s="165">
        <f t="shared" si="55"/>
        <v>1.0352744205299746E-3</v>
      </c>
    </row>
    <row r="116" spans="1:18" ht="14.25" x14ac:dyDescent="0.15">
      <c r="A116" s="183">
        <v>44033</v>
      </c>
      <c r="B116" s="176">
        <v>0.97</v>
      </c>
      <c r="C116" s="177">
        <v>1.8660000000000001</v>
      </c>
      <c r="D116" s="178">
        <f t="shared" ref="D116:D118" si="58">(1+B116*G116)*C117</f>
        <v>1.8657582999999998</v>
      </c>
      <c r="E116" s="182">
        <v>1.8653999999999999</v>
      </c>
      <c r="F116" s="182"/>
      <c r="G116" s="186">
        <v>0.03</v>
      </c>
      <c r="H116" s="186"/>
      <c r="I116" s="174"/>
      <c r="J116" s="176">
        <v>0.99</v>
      </c>
      <c r="K116" s="177">
        <v>2.0024000000000002</v>
      </c>
      <c r="L116" s="178">
        <f t="shared" ref="L116:L118" si="59">(1+J116*O116)*K117</f>
        <v>2.0021956990000001</v>
      </c>
      <c r="M116" s="182">
        <v>2.0011999999999999</v>
      </c>
      <c r="N116" s="182"/>
      <c r="O116" s="186">
        <v>3.8600000000000002E-2</v>
      </c>
      <c r="Q116" s="165">
        <f t="shared" si="54"/>
        <v>-1.2952840300128887E-4</v>
      </c>
      <c r="R116" s="165">
        <f t="shared" si="55"/>
        <v>-1.0202806632042538E-4</v>
      </c>
    </row>
    <row r="117" spans="1:18" ht="14.25" x14ac:dyDescent="0.15">
      <c r="A117" s="183">
        <v>44032</v>
      </c>
      <c r="B117" s="176">
        <v>0.97</v>
      </c>
      <c r="C117" s="177">
        <v>1.8129999999999999</v>
      </c>
      <c r="D117" s="178">
        <f t="shared" si="58"/>
        <v>1.813545478</v>
      </c>
      <c r="E117" s="182">
        <v>1.8129999999999999</v>
      </c>
      <c r="F117" s="182"/>
      <c r="G117" s="186">
        <v>1.5900000000000001E-2</v>
      </c>
      <c r="H117" s="186"/>
      <c r="I117" s="174"/>
      <c r="J117" s="176">
        <v>0.99</v>
      </c>
      <c r="K117" s="177">
        <v>1.9285000000000001</v>
      </c>
      <c r="L117" s="178">
        <f t="shared" si="59"/>
        <v>1.9292300703999998</v>
      </c>
      <c r="M117" s="182">
        <v>1.9263999999999999</v>
      </c>
      <c r="N117" s="182"/>
      <c r="O117" s="186">
        <v>1.3599999999999999E-2</v>
      </c>
      <c r="Q117" s="165">
        <f t="shared" si="54"/>
        <v>3.0087038058468352E-4</v>
      </c>
      <c r="R117" s="165">
        <f t="shared" si="55"/>
        <v>3.7856904329780505E-4</v>
      </c>
    </row>
    <row r="118" spans="1:18" ht="14.25" x14ac:dyDescent="0.15">
      <c r="A118" s="183">
        <v>44029</v>
      </c>
      <c r="B118" s="176">
        <v>0.97</v>
      </c>
      <c r="C118" s="177">
        <v>1.786</v>
      </c>
      <c r="D118" s="178">
        <f t="shared" si="58"/>
        <v>1.782634115</v>
      </c>
      <c r="E118" s="178">
        <v>1.7823</v>
      </c>
      <c r="F118" s="182"/>
      <c r="G118" s="186">
        <v>1.03E-2</v>
      </c>
      <c r="H118" s="186"/>
      <c r="I118" s="174"/>
      <c r="J118" s="176">
        <v>0.99</v>
      </c>
      <c r="K118" s="177">
        <v>1.9036</v>
      </c>
      <c r="L118" s="178">
        <f t="shared" si="59"/>
        <v>1.9033743084000001</v>
      </c>
      <c r="M118" s="178">
        <v>1.9072</v>
      </c>
      <c r="N118" s="182"/>
      <c r="O118" s="186">
        <v>1.66E-2</v>
      </c>
      <c r="Q118" s="165">
        <f t="shared" si="54"/>
        <v>-1.8845940649495629E-3</v>
      </c>
      <c r="R118" s="165">
        <f t="shared" si="55"/>
        <v>-1.1856041185109856E-4</v>
      </c>
    </row>
    <row r="119" spans="1:18" ht="14.25" x14ac:dyDescent="0.15">
      <c r="A119" s="183">
        <v>44028</v>
      </c>
      <c r="B119" s="182"/>
      <c r="C119" s="178">
        <v>1.7649999999999999</v>
      </c>
      <c r="D119" s="182"/>
      <c r="E119" s="178"/>
      <c r="F119" s="182"/>
      <c r="G119" s="182"/>
      <c r="H119" s="182"/>
      <c r="I119" s="174"/>
      <c r="J119" s="182"/>
      <c r="K119" s="178">
        <v>1.8726</v>
      </c>
      <c r="L119" s="182"/>
      <c r="M119" s="178"/>
      <c r="N119" s="182"/>
      <c r="O119" s="182"/>
    </row>
    <row r="122" spans="1:18" ht="27" x14ac:dyDescent="0.15">
      <c r="A122" s="187" t="s">
        <v>245</v>
      </c>
      <c r="B122" s="187" t="s">
        <v>232</v>
      </c>
      <c r="C122" s="187" t="s">
        <v>246</v>
      </c>
      <c r="D122" s="187" t="s">
        <v>247</v>
      </c>
      <c r="E122" s="187" t="s">
        <v>248</v>
      </c>
      <c r="F122" s="187" t="s">
        <v>249</v>
      </c>
      <c r="G122" s="187" t="s">
        <v>241</v>
      </c>
      <c r="H122" s="187" t="s">
        <v>250</v>
      </c>
      <c r="I122" s="75"/>
      <c r="J122" s="191" t="s">
        <v>245</v>
      </c>
      <c r="K122" s="191" t="s">
        <v>237</v>
      </c>
      <c r="L122" s="191" t="s">
        <v>246</v>
      </c>
      <c r="M122" s="191" t="s">
        <v>251</v>
      </c>
      <c r="N122" s="191" t="s">
        <v>241</v>
      </c>
      <c r="O122" s="191" t="s">
        <v>250</v>
      </c>
    </row>
    <row r="123" spans="1:18" x14ac:dyDescent="0.15">
      <c r="A123" s="188"/>
      <c r="B123" s="185"/>
      <c r="C123" s="185"/>
      <c r="D123" s="185"/>
      <c r="E123" s="185"/>
      <c r="F123" s="185"/>
      <c r="G123" s="185"/>
      <c r="H123" s="185"/>
      <c r="I123" s="75"/>
      <c r="J123" s="188"/>
      <c r="K123" s="185"/>
      <c r="L123" s="185"/>
      <c r="M123" s="185"/>
      <c r="N123" s="185"/>
      <c r="O123" s="185"/>
    </row>
    <row r="124" spans="1:18" x14ac:dyDescent="0.15">
      <c r="A124" s="188"/>
      <c r="B124" s="185"/>
      <c r="C124" s="185"/>
      <c r="D124" s="185"/>
      <c r="E124" s="185"/>
      <c r="F124" s="185"/>
      <c r="G124" s="185"/>
      <c r="H124" s="185"/>
      <c r="I124" s="75"/>
      <c r="J124" s="188"/>
      <c r="K124" s="185"/>
      <c r="L124" s="185"/>
      <c r="M124" s="185"/>
      <c r="N124" s="185"/>
      <c r="O124" s="185"/>
    </row>
    <row r="125" spans="1:18" x14ac:dyDescent="0.15">
      <c r="A125" s="188"/>
      <c r="B125" s="185"/>
      <c r="C125" s="185"/>
      <c r="D125" s="185"/>
      <c r="E125" s="185"/>
      <c r="F125" s="185"/>
      <c r="G125" s="185"/>
      <c r="H125" s="185"/>
      <c r="I125" s="75"/>
      <c r="J125" s="188"/>
      <c r="K125" s="185"/>
      <c r="L125" s="185"/>
      <c r="M125" s="185"/>
      <c r="N125" s="185"/>
      <c r="O125" s="185"/>
    </row>
    <row r="126" spans="1:18" ht="14.25" x14ac:dyDescent="0.15">
      <c r="A126" s="183">
        <v>44076</v>
      </c>
      <c r="B126" s="185">
        <v>-1.5E-3</v>
      </c>
      <c r="C126" s="179">
        <v>-3.3000000000000002E-2</v>
      </c>
      <c r="D126" s="179">
        <v>-3.3099999999999997E-2</v>
      </c>
      <c r="E126" s="185">
        <v>-3.39E-2</v>
      </c>
      <c r="F126" s="185">
        <v>-3.2300000000000002E-2</v>
      </c>
      <c r="G126" s="185"/>
      <c r="H126" s="185"/>
      <c r="I126" s="75"/>
      <c r="J126" s="183">
        <v>44076</v>
      </c>
      <c r="K126" s="185"/>
      <c r="L126" s="185"/>
      <c r="M126" s="185"/>
      <c r="N126" s="185"/>
      <c r="O126" s="185"/>
    </row>
    <row r="127" spans="1:18" ht="14.25" x14ac:dyDescent="0.15">
      <c r="A127" s="183">
        <v>44075</v>
      </c>
      <c r="B127" s="185"/>
      <c r="C127" s="185"/>
      <c r="D127" s="185"/>
      <c r="E127" s="185"/>
      <c r="F127" s="185"/>
      <c r="G127" s="185"/>
      <c r="H127" s="185"/>
      <c r="I127" s="75"/>
      <c r="J127" s="183">
        <v>44075</v>
      </c>
      <c r="K127" s="185"/>
      <c r="L127" s="185"/>
      <c r="M127" s="185"/>
      <c r="N127" s="185"/>
      <c r="O127" s="185"/>
    </row>
    <row r="128" spans="1:18" ht="14.25" x14ac:dyDescent="0.15">
      <c r="A128" s="183">
        <v>44074</v>
      </c>
      <c r="B128" s="185"/>
      <c r="C128" s="185"/>
      <c r="D128" s="185"/>
      <c r="E128" s="185"/>
      <c r="F128" s="185"/>
      <c r="G128" s="185"/>
      <c r="H128" s="185"/>
      <c r="I128" s="75"/>
      <c r="J128" s="183">
        <v>44074</v>
      </c>
      <c r="K128" s="185"/>
      <c r="L128" s="185"/>
      <c r="M128" s="185"/>
      <c r="N128" s="185"/>
      <c r="O128" s="185"/>
    </row>
    <row r="129" spans="1:16" ht="14.25" x14ac:dyDescent="0.15">
      <c r="A129" s="183">
        <v>44071</v>
      </c>
      <c r="B129" s="185"/>
      <c r="C129" s="179">
        <v>5.5999999999999999E-3</v>
      </c>
      <c r="D129" s="179">
        <v>5.1000000000000004E-3</v>
      </c>
      <c r="E129" s="185">
        <v>4.8999999999999998E-3</v>
      </c>
      <c r="F129" s="185">
        <v>1.1999999999999999E-3</v>
      </c>
      <c r="G129" s="185"/>
      <c r="H129" s="185"/>
      <c r="I129" s="75"/>
      <c r="J129" s="183">
        <v>44071</v>
      </c>
      <c r="K129" s="185"/>
      <c r="L129" s="186">
        <v>-3.7000000000000002E-3</v>
      </c>
      <c r="M129" s="186">
        <v>-4.1999999999999997E-3</v>
      </c>
      <c r="N129" s="185"/>
      <c r="O129" s="185"/>
    </row>
    <row r="130" spans="1:16" ht="14.25" x14ac:dyDescent="0.15">
      <c r="A130" s="183">
        <v>44070</v>
      </c>
      <c r="B130" s="185">
        <v>-5.0000000000000001E-4</v>
      </c>
      <c r="C130" s="179">
        <v>2.3999999999999998E-3</v>
      </c>
      <c r="D130" s="179">
        <v>3.5999999999999999E-3</v>
      </c>
      <c r="E130" s="185">
        <v>1.1000000000000001E-3</v>
      </c>
      <c r="F130" s="185">
        <v>4.4999999999999997E-3</v>
      </c>
      <c r="G130" s="185">
        <v>-5.0000000000000001E-4</v>
      </c>
      <c r="H130" s="185"/>
      <c r="I130" s="75"/>
      <c r="J130" s="183">
        <v>44070</v>
      </c>
      <c r="K130" s="185">
        <v>-2.3999999999999998E-3</v>
      </c>
      <c r="L130" s="186">
        <v>-2E-3</v>
      </c>
      <c r="M130" s="186">
        <v>-2.3999999999999998E-3</v>
      </c>
      <c r="N130" s="185">
        <v>-2.3999999999999998E-3</v>
      </c>
      <c r="O130" s="185"/>
    </row>
    <row r="131" spans="1:16" ht="14.25" x14ac:dyDescent="0.15">
      <c r="A131" s="183">
        <v>44069</v>
      </c>
      <c r="B131" s="185">
        <v>5.1999999999999998E-3</v>
      </c>
      <c r="C131" s="179">
        <v>6.8999999999999999E-3</v>
      </c>
      <c r="D131" s="179">
        <v>7.7000000000000002E-3</v>
      </c>
      <c r="E131" s="185">
        <v>6.1999999999999998E-3</v>
      </c>
      <c r="F131" s="185">
        <v>3.8999999999999998E-3</v>
      </c>
      <c r="G131" s="185">
        <v>3.7000000000000002E-3</v>
      </c>
      <c r="H131" s="185">
        <v>5.7999999999999996E-3</v>
      </c>
      <c r="I131" s="75"/>
      <c r="J131" s="183">
        <v>44069</v>
      </c>
      <c r="K131" s="185">
        <v>1.14E-2</v>
      </c>
      <c r="L131" s="186">
        <v>1.0800000000000001E-2</v>
      </c>
      <c r="M131" s="186">
        <v>1.15E-2</v>
      </c>
      <c r="N131" s="185">
        <v>0.01</v>
      </c>
      <c r="O131" s="185">
        <v>5.8999999999999999E-3</v>
      </c>
    </row>
    <row r="132" spans="1:16" ht="14.25" x14ac:dyDescent="0.15">
      <c r="A132" s="183">
        <v>44068</v>
      </c>
      <c r="B132" s="185">
        <v>9.4999999999999998E-3</v>
      </c>
      <c r="C132" s="179">
        <v>9.1999999999999998E-3</v>
      </c>
      <c r="D132" s="179">
        <v>8.3999999999999995E-3</v>
      </c>
      <c r="E132" s="185">
        <v>8.2000000000000007E-3</v>
      </c>
      <c r="F132" s="185">
        <v>7.4999999999999997E-3</v>
      </c>
      <c r="G132" s="185">
        <v>7.1000000000000004E-3</v>
      </c>
      <c r="H132" s="185">
        <v>7.9000000000000008E-3</v>
      </c>
      <c r="I132" s="75"/>
      <c r="J132" s="183">
        <v>44068</v>
      </c>
      <c r="K132" s="185">
        <v>1.15E-2</v>
      </c>
      <c r="L132" s="186">
        <v>1.2500000000000001E-2</v>
      </c>
      <c r="M132" s="186">
        <v>1.1299999999999999E-2</v>
      </c>
      <c r="N132" s="185">
        <v>1.11E-2</v>
      </c>
      <c r="O132" s="185">
        <v>7.7999999999999996E-3</v>
      </c>
    </row>
    <row r="133" spans="1:16" ht="14.25" x14ac:dyDescent="0.15">
      <c r="A133" s="183">
        <v>44067</v>
      </c>
      <c r="B133" s="185">
        <v>2.5499999999999998E-2</v>
      </c>
      <c r="C133" s="179">
        <v>2.7E-2</v>
      </c>
      <c r="D133" s="179">
        <v>2.4799999999999999E-2</v>
      </c>
      <c r="E133" s="185">
        <v>2.6100000000000002E-2</v>
      </c>
      <c r="F133" s="185">
        <v>2.47E-2</v>
      </c>
      <c r="G133" s="185">
        <v>2.35E-2</v>
      </c>
      <c r="H133" s="185">
        <v>2.5000000000000001E-2</v>
      </c>
      <c r="I133" s="75"/>
      <c r="J133" s="183">
        <v>44067</v>
      </c>
      <c r="K133" s="185">
        <v>4.2200000000000001E-2</v>
      </c>
      <c r="L133" s="186">
        <v>4.2500000000000003E-2</v>
      </c>
      <c r="M133" s="186">
        <v>4.2099999999999999E-2</v>
      </c>
      <c r="N133" s="185">
        <v>4.3799999999999999E-2</v>
      </c>
      <c r="O133" s="185">
        <v>2.52E-2</v>
      </c>
    </row>
    <row r="134" spans="1:16" ht="14.25" x14ac:dyDescent="0.15">
      <c r="A134" s="183">
        <v>44064</v>
      </c>
      <c r="B134" s="185">
        <v>-2.2000000000000001E-3</v>
      </c>
      <c r="C134" s="179">
        <v>2.9999999999999997E-4</v>
      </c>
      <c r="D134" s="179">
        <v>6.9999999999999999E-4</v>
      </c>
      <c r="E134" s="185">
        <v>-1.6999999999999999E-3</v>
      </c>
      <c r="F134" s="185">
        <v>1.2999999999999999E-3</v>
      </c>
      <c r="G134" s="185">
        <v>1.1999999999999999E-3</v>
      </c>
      <c r="H134" s="185">
        <v>-1.6000000000000001E-3</v>
      </c>
      <c r="I134" s="38"/>
      <c r="J134" s="183">
        <v>44064</v>
      </c>
      <c r="K134" s="185">
        <v>1.21E-2</v>
      </c>
      <c r="L134" s="185">
        <v>1.37E-2</v>
      </c>
      <c r="M134" s="185">
        <v>1.2E-2</v>
      </c>
      <c r="N134" s="185">
        <v>9.5999999999999992E-3</v>
      </c>
      <c r="O134" s="185">
        <v>1.5E-3</v>
      </c>
      <c r="P134" s="38"/>
    </row>
    <row r="135" spans="1:16" ht="14.25" x14ac:dyDescent="0.15">
      <c r="A135" s="183">
        <v>44063</v>
      </c>
      <c r="B135" s="185">
        <v>1.6000000000000001E-3</v>
      </c>
      <c r="C135" s="179">
        <v>2.7000000000000001E-3</v>
      </c>
      <c r="D135" s="179">
        <v>6.9999999999999999E-4</v>
      </c>
      <c r="E135" s="185">
        <v>2.2000000000000001E-3</v>
      </c>
      <c r="F135" s="185">
        <v>-1E-4</v>
      </c>
      <c r="G135" s="185">
        <v>1E-4</v>
      </c>
      <c r="H135" s="185">
        <v>2.2000000000000001E-3</v>
      </c>
      <c r="I135" s="75"/>
      <c r="J135" s="183">
        <v>44063</v>
      </c>
      <c r="K135" s="185">
        <v>2.3999999999999998E-3</v>
      </c>
      <c r="L135" s="185">
        <v>2.5000000000000001E-3</v>
      </c>
      <c r="M135" s="185">
        <v>2.5999999999999999E-3</v>
      </c>
      <c r="N135" s="185">
        <v>4.1000000000000003E-3</v>
      </c>
      <c r="O135" s="185">
        <v>1.9E-3</v>
      </c>
    </row>
    <row r="136" spans="1:16" ht="14.25" x14ac:dyDescent="0.15">
      <c r="A136" s="183">
        <v>44062</v>
      </c>
      <c r="B136" s="185">
        <v>-1.29E-2</v>
      </c>
      <c r="C136" s="179">
        <v>-1.21E-2</v>
      </c>
      <c r="D136" s="179">
        <v>-1.17E-2</v>
      </c>
      <c r="E136" s="185">
        <v>-1.4E-2</v>
      </c>
      <c r="F136" s="185">
        <v>-1.1900000000000001E-2</v>
      </c>
      <c r="G136" s="185">
        <v>-1.1299999999999999E-2</v>
      </c>
      <c r="H136" s="185">
        <v>-1.34E-2</v>
      </c>
      <c r="I136" s="75"/>
      <c r="J136" s="183">
        <v>44062</v>
      </c>
      <c r="K136" s="185">
        <v>-7.0000000000000001E-3</v>
      </c>
      <c r="L136" s="186">
        <v>-7.1000000000000004E-3</v>
      </c>
      <c r="M136" s="186">
        <v>-7.3000000000000001E-3</v>
      </c>
      <c r="N136" s="185">
        <v>-9.5999999999999992E-3</v>
      </c>
      <c r="O136" s="185">
        <v>-1.32E-2</v>
      </c>
    </row>
    <row r="137" spans="1:16" ht="14.25" x14ac:dyDescent="0.15">
      <c r="A137" s="183">
        <v>44061</v>
      </c>
      <c r="B137" s="185">
        <v>2.2499999999999999E-2</v>
      </c>
      <c r="C137" s="179">
        <v>2.3E-2</v>
      </c>
      <c r="D137" s="179">
        <v>2.2700000000000001E-2</v>
      </c>
      <c r="E137" s="185">
        <v>2.2200000000000001E-2</v>
      </c>
      <c r="F137" s="185">
        <v>2.12E-2</v>
      </c>
      <c r="G137" s="185">
        <v>2.01E-2</v>
      </c>
      <c r="H137" s="185">
        <v>2.0799999999999999E-2</v>
      </c>
      <c r="I137" s="75"/>
      <c r="J137" s="183">
        <v>44061</v>
      </c>
      <c r="K137" s="185">
        <v>2.0799999999999999E-2</v>
      </c>
      <c r="L137" s="186">
        <v>2.1000000000000001E-2</v>
      </c>
      <c r="M137" s="186">
        <v>2.0899999999999998E-2</v>
      </c>
      <c r="N137" s="185">
        <v>2.0199999999999999E-2</v>
      </c>
      <c r="O137" s="185">
        <v>2.07E-2</v>
      </c>
    </row>
    <row r="138" spans="1:16" ht="14.25" x14ac:dyDescent="0.15">
      <c r="A138" s="183">
        <v>44060</v>
      </c>
      <c r="B138" s="185">
        <v>1.7899999999999999E-2</v>
      </c>
      <c r="C138" s="179">
        <v>1.9199999999999998E-2</v>
      </c>
      <c r="D138" s="179">
        <v>1.9E-2</v>
      </c>
      <c r="E138" s="185">
        <v>1.84E-2</v>
      </c>
      <c r="F138" s="185">
        <v>1.6299999999999999E-2</v>
      </c>
      <c r="G138" s="185">
        <v>1.55E-2</v>
      </c>
      <c r="H138" s="185">
        <v>1.7899999999999999E-2</v>
      </c>
      <c r="I138" s="75"/>
      <c r="J138" s="183">
        <v>44060</v>
      </c>
      <c r="K138" s="185">
        <v>1.1599999999999999E-2</v>
      </c>
      <c r="L138" s="186">
        <v>1.2500000000000001E-2</v>
      </c>
      <c r="M138" s="186">
        <v>1.1900000000000001E-2</v>
      </c>
      <c r="N138" s="185">
        <v>1.1299999999999999E-2</v>
      </c>
      <c r="O138" s="185">
        <v>1.7399999999999999E-2</v>
      </c>
    </row>
    <row r="139" spans="1:16" ht="14.25" x14ac:dyDescent="0.15">
      <c r="A139" s="183">
        <v>44057</v>
      </c>
      <c r="B139" s="185">
        <v>-1.5900000000000001E-2</v>
      </c>
      <c r="C139" s="185">
        <v>-1.47E-2</v>
      </c>
      <c r="D139" s="185">
        <v>-1.5599999999999999E-2</v>
      </c>
      <c r="E139" s="185">
        <v>-1.5900000000000001E-2</v>
      </c>
      <c r="F139" s="185">
        <v>-1.4800000000000001E-2</v>
      </c>
      <c r="G139" s="185">
        <v>-1.41E-2</v>
      </c>
      <c r="H139" s="185">
        <v>-1.4800000000000001E-2</v>
      </c>
      <c r="I139" s="75"/>
      <c r="J139" s="183">
        <v>44057</v>
      </c>
      <c r="K139" s="185">
        <v>-6.4000000000000003E-3</v>
      </c>
      <c r="L139" s="185">
        <v>-6.4000000000000003E-3</v>
      </c>
      <c r="M139" s="185">
        <v>-6.4999999999999997E-3</v>
      </c>
      <c r="N139" s="185">
        <v>-6.7999999999999996E-3</v>
      </c>
      <c r="O139" s="185">
        <v>-1.5100000000000001E-2</v>
      </c>
    </row>
    <row r="140" spans="1:16" ht="14.25" x14ac:dyDescent="0.15">
      <c r="A140" s="183">
        <v>44056</v>
      </c>
      <c r="B140" s="185">
        <v>-8.6999999999999994E-3</v>
      </c>
      <c r="C140" s="179">
        <v>-7.9000000000000008E-3</v>
      </c>
      <c r="D140" s="179">
        <v>-5.7000000000000002E-3</v>
      </c>
      <c r="E140" s="185">
        <v>-8.0999999999999996E-3</v>
      </c>
      <c r="F140" s="185">
        <v>-4.4999999999999997E-3</v>
      </c>
      <c r="G140" s="185">
        <v>-4.3E-3</v>
      </c>
      <c r="H140" s="185">
        <v>-7.6E-3</v>
      </c>
      <c r="I140" s="75"/>
      <c r="J140" s="183">
        <v>44056</v>
      </c>
      <c r="K140" s="185">
        <v>-1.2999999999999999E-2</v>
      </c>
      <c r="L140" s="186">
        <v>-1.2800000000000001E-2</v>
      </c>
      <c r="M140" s="186">
        <v>-1.2999999999999999E-2</v>
      </c>
      <c r="N140" s="185">
        <v>-1.54E-2</v>
      </c>
      <c r="O140" s="185">
        <v>-7.9000000000000008E-3</v>
      </c>
    </row>
    <row r="141" spans="1:16" ht="14.25" x14ac:dyDescent="0.15">
      <c r="A141" s="183">
        <v>44055</v>
      </c>
      <c r="B141" s="185">
        <v>8.2000000000000007E-3</v>
      </c>
      <c r="C141" s="185">
        <v>8.3000000000000001E-3</v>
      </c>
      <c r="D141" s="185">
        <v>9.1000000000000004E-3</v>
      </c>
      <c r="E141" s="185">
        <v>7.4999999999999997E-3</v>
      </c>
      <c r="F141" s="185">
        <v>8.3999999999999995E-3</v>
      </c>
      <c r="G141" s="185">
        <v>8.0000000000000002E-3</v>
      </c>
      <c r="H141" s="185">
        <v>7.1000000000000004E-3</v>
      </c>
      <c r="I141" s="75"/>
      <c r="J141" s="183">
        <v>44055</v>
      </c>
      <c r="K141" s="185">
        <v>1.3100000000000001E-2</v>
      </c>
      <c r="L141" s="185">
        <v>1.4E-2</v>
      </c>
      <c r="M141" s="185">
        <v>1.3100000000000001E-2</v>
      </c>
      <c r="N141" s="185">
        <v>1.15E-2</v>
      </c>
      <c r="O141" s="185">
        <v>7.1999999999999998E-3</v>
      </c>
    </row>
    <row r="142" spans="1:16" ht="14.25" x14ac:dyDescent="0.15">
      <c r="A142" s="183">
        <v>44054</v>
      </c>
      <c r="B142" s="185">
        <v>-3.8E-3</v>
      </c>
      <c r="C142" s="179">
        <v>-3.8999999999999998E-3</v>
      </c>
      <c r="D142" s="179">
        <v>-5.1000000000000004E-3</v>
      </c>
      <c r="E142" s="185">
        <v>-4.1999999999999997E-3</v>
      </c>
      <c r="F142" s="185">
        <v>-7.9000000000000008E-3</v>
      </c>
      <c r="G142" s="193">
        <v>-7.4999999999999997E-3</v>
      </c>
      <c r="H142" s="193">
        <v>-5.4999999999999997E-3</v>
      </c>
      <c r="I142" s="75"/>
      <c r="J142" s="183">
        <v>44054</v>
      </c>
      <c r="K142" s="185">
        <v>4.4000000000000003E-3</v>
      </c>
      <c r="L142" s="186">
        <v>5.1000000000000004E-3</v>
      </c>
      <c r="M142" s="186">
        <v>4.4000000000000003E-3</v>
      </c>
      <c r="N142" s="193">
        <v>5.3E-3</v>
      </c>
      <c r="O142" s="193">
        <v>-5.5999999999999999E-3</v>
      </c>
    </row>
    <row r="143" spans="1:16" ht="14.25" x14ac:dyDescent="0.15">
      <c r="A143" s="183">
        <v>44053</v>
      </c>
      <c r="B143" s="185">
        <v>-1.4E-2</v>
      </c>
      <c r="C143" s="185">
        <v>-1.4500000000000001E-2</v>
      </c>
      <c r="D143" s="185">
        <v>-1.77E-2</v>
      </c>
      <c r="E143" s="185">
        <v>-1.4200000000000001E-2</v>
      </c>
      <c r="F143" s="185">
        <v>-1.8499999999999999E-2</v>
      </c>
      <c r="G143" s="185">
        <v>-1.7600000000000001E-2</v>
      </c>
      <c r="H143" s="185">
        <v>-1.24E-2</v>
      </c>
      <c r="I143" s="75"/>
      <c r="J143" s="183">
        <v>44053</v>
      </c>
      <c r="K143" s="185">
        <v>-1.9800000000000002E-2</v>
      </c>
      <c r="L143" s="186">
        <v>-1.9300000000000001E-2</v>
      </c>
      <c r="M143" s="186">
        <v>-1.9900000000000001E-2</v>
      </c>
      <c r="N143" s="185">
        <v>-1.6400000000000001E-2</v>
      </c>
      <c r="O143" s="185">
        <v>-1.24E-2</v>
      </c>
    </row>
    <row r="144" spans="1:16" ht="14.25" x14ac:dyDescent="0.15">
      <c r="A144" s="183">
        <v>44050</v>
      </c>
      <c r="B144" s="185">
        <v>-3.8899999999999997E-2</v>
      </c>
      <c r="C144" s="179">
        <v>-3.9699999999999999E-2</v>
      </c>
      <c r="D144" s="179">
        <v>-4.1099999999999998E-2</v>
      </c>
      <c r="E144" s="185">
        <v>-4.1500000000000002E-2</v>
      </c>
      <c r="F144" s="185">
        <v>-3.8899999999999997E-2</v>
      </c>
      <c r="G144" s="185">
        <v>-3.6900000000000002E-2</v>
      </c>
      <c r="H144" s="185">
        <v>-3.5799999999999998E-2</v>
      </c>
      <c r="I144" s="75"/>
      <c r="J144" s="183">
        <v>44050</v>
      </c>
      <c r="K144" s="185">
        <v>-4.1599999999999998E-2</v>
      </c>
      <c r="L144" s="185">
        <v>-4.1599999999999998E-2</v>
      </c>
      <c r="M144" s="185">
        <v>-4.2000000000000003E-2</v>
      </c>
      <c r="N144" s="185">
        <v>-4.24E-2</v>
      </c>
      <c r="O144" s="185">
        <v>-3.5900000000000001E-2</v>
      </c>
    </row>
    <row r="145" spans="1:15" ht="14.25" x14ac:dyDescent="0.15">
      <c r="A145" s="183">
        <v>44049</v>
      </c>
      <c r="B145" s="185">
        <v>-3.0999999999999999E-3</v>
      </c>
      <c r="C145" s="185">
        <v>-1.8E-3</v>
      </c>
      <c r="D145" s="185">
        <v>1.2999999999999999E-3</v>
      </c>
      <c r="E145" s="185">
        <v>-3.2000000000000002E-3</v>
      </c>
      <c r="F145" s="185">
        <v>3.7000000000000002E-3</v>
      </c>
      <c r="G145" s="185">
        <v>3.5000000000000001E-3</v>
      </c>
      <c r="H145" s="185">
        <v>-3.5999999999999999E-3</v>
      </c>
      <c r="I145" s="75"/>
      <c r="J145" s="183">
        <v>44049</v>
      </c>
      <c r="K145" s="185">
        <v>-7.7000000000000002E-3</v>
      </c>
      <c r="L145" s="185">
        <v>-6.1000000000000004E-3</v>
      </c>
      <c r="M145" s="185">
        <v>-7.4999999999999997E-3</v>
      </c>
      <c r="N145" s="185">
        <v>-1.2E-2</v>
      </c>
      <c r="O145" s="185">
        <v>-3.8999999999999998E-3</v>
      </c>
    </row>
    <row r="146" spans="1:15" ht="14.25" x14ac:dyDescent="0.15">
      <c r="A146" s="183">
        <v>44048</v>
      </c>
      <c r="B146" s="185">
        <v>1.5699999999999999E-2</v>
      </c>
      <c r="C146" s="185">
        <v>1.7399999999999999E-2</v>
      </c>
      <c r="D146" s="185">
        <v>1.77E-2</v>
      </c>
      <c r="E146" s="185">
        <v>1.6899999999999998E-2</v>
      </c>
      <c r="F146" s="185">
        <v>1.2E-2</v>
      </c>
      <c r="G146" s="185">
        <v>1.14E-2</v>
      </c>
      <c r="H146" s="185">
        <v>1.15E-2</v>
      </c>
      <c r="I146" s="75"/>
      <c r="J146" s="183">
        <v>44048</v>
      </c>
      <c r="K146" s="185">
        <v>1.41E-2</v>
      </c>
      <c r="L146" s="185">
        <v>1.47E-2</v>
      </c>
      <c r="M146" s="185">
        <v>1.43E-2</v>
      </c>
      <c r="N146" s="194">
        <v>1.3599999999999999E-2</v>
      </c>
      <c r="O146" s="185">
        <v>1.1599999999999999E-2</v>
      </c>
    </row>
    <row r="147" spans="1:15" ht="14.25" x14ac:dyDescent="0.15">
      <c r="A147" s="183">
        <v>44047</v>
      </c>
      <c r="B147" s="185">
        <v>1.38E-2</v>
      </c>
      <c r="C147" s="185">
        <v>1.6799999999999999E-2</v>
      </c>
      <c r="D147" s="185">
        <v>1.83E-2</v>
      </c>
      <c r="E147" s="185">
        <v>1.5800000000000002E-2</v>
      </c>
      <c r="F147" s="185">
        <v>1.7500000000000002E-2</v>
      </c>
      <c r="G147" s="185">
        <v>1.66E-2</v>
      </c>
      <c r="H147" s="185">
        <v>1.38E-2</v>
      </c>
      <c r="I147" s="75"/>
      <c r="J147" s="183">
        <v>44047</v>
      </c>
      <c r="K147" s="185">
        <v>1.9E-2</v>
      </c>
      <c r="L147" s="185">
        <v>1.9900000000000001E-2</v>
      </c>
      <c r="M147" s="185">
        <v>1.9199999999999998E-2</v>
      </c>
      <c r="N147" s="185">
        <v>1.67E-2</v>
      </c>
      <c r="O147" s="185">
        <v>1.37E-2</v>
      </c>
    </row>
    <row r="148" spans="1:15" ht="14.25" x14ac:dyDescent="0.15">
      <c r="A148" s="183">
        <v>44046</v>
      </c>
      <c r="B148" s="185">
        <v>2.5100000000000001E-2</v>
      </c>
      <c r="C148" s="185">
        <v>2.6800000000000001E-2</v>
      </c>
      <c r="D148" s="185">
        <v>2.4E-2</v>
      </c>
      <c r="E148" s="185">
        <v>2.5899999999999999E-2</v>
      </c>
      <c r="F148" s="185">
        <v>2.4899999999999999E-2</v>
      </c>
      <c r="G148" s="185">
        <v>2.3699999999999999E-2</v>
      </c>
      <c r="H148" s="185">
        <v>2.1999999999999999E-2</v>
      </c>
      <c r="I148" s="75"/>
      <c r="J148" s="183">
        <v>44046</v>
      </c>
      <c r="K148" s="185">
        <v>2.4199999999999999E-2</v>
      </c>
      <c r="L148" s="185">
        <v>2.5000000000000001E-2</v>
      </c>
      <c r="M148" s="185">
        <v>2.4400000000000002E-2</v>
      </c>
      <c r="N148" s="185">
        <v>2.63E-2</v>
      </c>
      <c r="O148" s="185">
        <v>2.1999999999999999E-2</v>
      </c>
    </row>
    <row r="149" spans="1:15" ht="14.25" x14ac:dyDescent="0.15">
      <c r="A149" s="183">
        <v>44043</v>
      </c>
      <c r="B149" s="185">
        <v>1.44E-2</v>
      </c>
      <c r="C149" s="185">
        <v>1.54E-2</v>
      </c>
      <c r="D149" s="185">
        <v>1.55E-2</v>
      </c>
      <c r="E149" s="185">
        <v>1.47E-2</v>
      </c>
      <c r="F149" s="185">
        <v>1.06E-2</v>
      </c>
      <c r="G149" s="185">
        <v>0.01</v>
      </c>
      <c r="H149" s="185">
        <v>1.55E-2</v>
      </c>
      <c r="I149" s="75"/>
      <c r="J149" s="183">
        <v>44043</v>
      </c>
      <c r="K149" s="185">
        <v>2.5000000000000001E-3</v>
      </c>
      <c r="L149" s="185">
        <v>3.2000000000000002E-3</v>
      </c>
      <c r="M149" s="185">
        <v>2.7000000000000001E-3</v>
      </c>
      <c r="N149" s="185">
        <v>1.9E-3</v>
      </c>
      <c r="O149" s="185">
        <v>1.55E-2</v>
      </c>
    </row>
    <row r="150" spans="1:15" ht="14.25" x14ac:dyDescent="0.15">
      <c r="A150" s="183">
        <v>44042</v>
      </c>
      <c r="B150" s="185">
        <v>-1.1000000000000001E-3</v>
      </c>
      <c r="C150" s="185">
        <v>-5.0000000000000001E-4</v>
      </c>
      <c r="D150" s="185">
        <v>2.0000000000000001E-4</v>
      </c>
      <c r="E150" s="185">
        <v>-8.0000000000000004E-4</v>
      </c>
      <c r="F150" s="185">
        <v>1.1999999999999999E-3</v>
      </c>
      <c r="G150" s="185">
        <v>1.1999999999999999E-3</v>
      </c>
      <c r="H150" s="185">
        <v>1.6999999999999999E-3</v>
      </c>
      <c r="I150" s="75"/>
      <c r="J150" s="183">
        <v>44042</v>
      </c>
      <c r="K150" s="185">
        <v>-3.8999999999999998E-3</v>
      </c>
      <c r="L150" s="186">
        <v>-4.0000000000000001E-3</v>
      </c>
      <c r="M150" s="186">
        <v>-3.8999999999999998E-3</v>
      </c>
      <c r="N150" s="186">
        <v>-4.8999999999999998E-3</v>
      </c>
      <c r="O150" s="186">
        <v>-1.2999999999999999E-3</v>
      </c>
    </row>
    <row r="151" spans="1:15" ht="14.25" x14ac:dyDescent="0.15">
      <c r="A151" s="183">
        <v>44041</v>
      </c>
      <c r="B151" s="185">
        <v>1.06E-2</v>
      </c>
      <c r="C151" s="185">
        <v>1.0500000000000001E-2</v>
      </c>
      <c r="D151" s="185">
        <v>9.1999999999999998E-3</v>
      </c>
      <c r="E151" s="185">
        <v>1.03E-2</v>
      </c>
      <c r="F151" s="185">
        <v>9.2999999999999992E-3</v>
      </c>
      <c r="G151" s="185">
        <v>8.8000000000000005E-3</v>
      </c>
      <c r="H151" s="185">
        <v>1.01E-2</v>
      </c>
      <c r="I151" s="75"/>
      <c r="J151" s="183">
        <v>44041</v>
      </c>
      <c r="K151" s="185">
        <v>8.0999999999999996E-3</v>
      </c>
      <c r="L151" s="185">
        <v>8.5000000000000006E-3</v>
      </c>
      <c r="M151" s="185">
        <v>8.0999999999999996E-3</v>
      </c>
      <c r="N151" s="185">
        <v>9.1999999999999998E-3</v>
      </c>
      <c r="O151" s="185">
        <v>9.9000000000000008E-3</v>
      </c>
    </row>
    <row r="152" spans="1:15" ht="14.25" x14ac:dyDescent="0.15">
      <c r="A152" s="183">
        <v>44040</v>
      </c>
      <c r="B152" s="185">
        <v>5.5999999999999999E-3</v>
      </c>
      <c r="C152" s="185">
        <v>6.6E-3</v>
      </c>
      <c r="D152" s="185">
        <v>7.9000000000000008E-3</v>
      </c>
      <c r="E152" s="185">
        <v>6.0000000000000001E-3</v>
      </c>
      <c r="F152" s="185">
        <v>8.5000000000000006E-3</v>
      </c>
      <c r="G152" s="185">
        <v>8.0999999999999996E-3</v>
      </c>
      <c r="H152" s="185">
        <v>6.7000000000000002E-3</v>
      </c>
      <c r="J152" s="183">
        <v>44040</v>
      </c>
      <c r="K152" s="185">
        <v>1.29E-2</v>
      </c>
      <c r="L152" s="185">
        <v>1.26E-2</v>
      </c>
      <c r="M152" s="185">
        <v>1.2800000000000001E-2</v>
      </c>
      <c r="N152" s="185">
        <v>1.0999999999999999E-2</v>
      </c>
      <c r="O152" s="185">
        <v>6.6E-3</v>
      </c>
    </row>
    <row r="153" spans="1:15" ht="14.25" x14ac:dyDescent="0.15">
      <c r="A153" s="183">
        <v>44039</v>
      </c>
      <c r="B153" s="185">
        <v>1.14E-2</v>
      </c>
      <c r="C153" s="185">
        <v>1.37E-2</v>
      </c>
      <c r="D153" s="185">
        <v>1.09E-2</v>
      </c>
      <c r="E153" s="185">
        <v>1.2200000000000001E-2</v>
      </c>
      <c r="F153" s="185">
        <v>8.0000000000000002E-3</v>
      </c>
      <c r="G153" s="185">
        <v>7.6E-3</v>
      </c>
      <c r="H153" s="185">
        <v>9.7000000000000003E-3</v>
      </c>
      <c r="J153" s="183">
        <v>44039</v>
      </c>
      <c r="K153" s="185">
        <v>1.4E-3</v>
      </c>
      <c r="L153" s="185">
        <v>3.0000000000000001E-3</v>
      </c>
      <c r="M153" s="185">
        <v>1.8E-3</v>
      </c>
      <c r="N153" s="185">
        <v>3.0999999999999999E-3</v>
      </c>
      <c r="O153" s="185">
        <v>9.5999999999999992E-3</v>
      </c>
    </row>
    <row r="154" spans="1:15" ht="14.25" x14ac:dyDescent="0.15">
      <c r="A154" s="183">
        <v>44036</v>
      </c>
      <c r="B154" s="185">
        <v>-2.1700000000000001E-2</v>
      </c>
      <c r="C154" s="185">
        <v>-2.23E-2</v>
      </c>
      <c r="D154" s="185">
        <v>-2.3300000000000001E-2</v>
      </c>
      <c r="E154" s="185">
        <v>-2.3099999999999999E-2</v>
      </c>
      <c r="F154" s="185">
        <v>-2.1299999999999999E-2</v>
      </c>
      <c r="G154" s="185">
        <v>-2.0199999999999999E-2</v>
      </c>
      <c r="H154" s="185">
        <v>-2.1700000000000001E-2</v>
      </c>
      <c r="J154" s="183">
        <v>44036</v>
      </c>
      <c r="K154" s="185">
        <v>-2.7099999999999999E-2</v>
      </c>
      <c r="L154" s="185">
        <v>-2.5499999999999998E-2</v>
      </c>
      <c r="M154" s="185">
        <v>-2.7199999999999998E-2</v>
      </c>
      <c r="N154" s="185">
        <v>-2.7E-2</v>
      </c>
      <c r="O154" s="185">
        <v>-2.18E-2</v>
      </c>
    </row>
    <row r="155" spans="1:15" ht="14.25" x14ac:dyDescent="0.15">
      <c r="A155" s="183">
        <v>44035</v>
      </c>
      <c r="B155" s="185">
        <v>-4.4000000000000003E-3</v>
      </c>
      <c r="C155" s="185">
        <v>-3.0999999999999999E-3</v>
      </c>
      <c r="D155" s="185">
        <v>-7.1000000000000004E-3</v>
      </c>
      <c r="E155" s="185">
        <v>-4.1999999999999997E-3</v>
      </c>
      <c r="F155" s="185">
        <v>-6.7000000000000002E-3</v>
      </c>
      <c r="G155" s="185">
        <v>-4.0000000000000001E-3</v>
      </c>
      <c r="H155" s="185">
        <v>-4.4000000000000003E-3</v>
      </c>
      <c r="J155" s="183">
        <v>44035</v>
      </c>
      <c r="K155" s="185">
        <v>1.1299999999999999E-2</v>
      </c>
      <c r="L155" s="185">
        <v>1.0500000000000001E-2</v>
      </c>
      <c r="M155" s="185">
        <v>1.0800000000000001E-2</v>
      </c>
      <c r="N155" s="185">
        <v>1.0800000000000001E-2</v>
      </c>
      <c r="O155" s="185">
        <v>-4.0000000000000001E-3</v>
      </c>
    </row>
    <row r="156" spans="1:15" ht="14.25" x14ac:dyDescent="0.15">
      <c r="A156" s="183">
        <v>44034</v>
      </c>
      <c r="B156" s="185">
        <v>-3.1099999999999999E-2</v>
      </c>
      <c r="C156" s="185">
        <v>-3.1199999999999999E-2</v>
      </c>
      <c r="D156" s="185">
        <v>-2.98E-2</v>
      </c>
      <c r="E156" s="185">
        <v>-3.1899999999999998E-2</v>
      </c>
      <c r="F156" s="185">
        <v>-2.7199999999999998E-2</v>
      </c>
      <c r="G156" s="185">
        <v>-2.58E-2</v>
      </c>
      <c r="H156" s="185">
        <v>-0.03</v>
      </c>
      <c r="J156" s="183">
        <v>44034</v>
      </c>
      <c r="K156" s="185">
        <v>-3.4799999999999998E-2</v>
      </c>
      <c r="L156" s="124">
        <v>-3.41</v>
      </c>
      <c r="M156" s="185">
        <v>-3.5099999999999999E-2</v>
      </c>
      <c r="N156" s="185">
        <v>-3.7199999999999997E-2</v>
      </c>
      <c r="O156" s="185">
        <v>-3.0200000000000001E-2</v>
      </c>
    </row>
  </sheetData>
  <phoneticPr fontId="30" type="noConversion"/>
  <conditionalFormatting sqref="M23">
    <cfRule type="cellIs" dxfId="1" priority="2" operator="lessThan">
      <formula>-29</formula>
    </cfRule>
  </conditionalFormatting>
  <conditionalFormatting sqref="M29">
    <cfRule type="cellIs" dxfId="0" priority="1" operator="lessThan">
      <formula>-79</formula>
    </cfRule>
  </conditionalFormatting>
  <conditionalFormatting sqref="H40">
    <cfRule type="cellIs" priority="3" operator="lessThanOrEqual">
      <formula>-0.01</formula>
    </cfRule>
  </conditionalFormatting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AG15"/>
  <sheetViews>
    <sheetView workbookViewId="0">
      <selection activeCell="A19" sqref="A19"/>
    </sheetView>
  </sheetViews>
  <sheetFormatPr defaultColWidth="9" defaultRowHeight="13.5" x14ac:dyDescent="0.15"/>
  <sheetData>
    <row r="2" spans="1:33" x14ac:dyDescent="0.15">
      <c r="A2" s="24" t="s">
        <v>5</v>
      </c>
      <c r="B2" s="24" t="s">
        <v>184</v>
      </c>
      <c r="C2" s="24" t="s">
        <v>181</v>
      </c>
      <c r="D2" s="24" t="s">
        <v>185</v>
      </c>
      <c r="E2" s="24" t="s">
        <v>186</v>
      </c>
      <c r="F2" s="24" t="s">
        <v>187</v>
      </c>
      <c r="G2" s="24" t="s">
        <v>188</v>
      </c>
      <c r="H2" s="24" t="s">
        <v>189</v>
      </c>
      <c r="I2" s="24" t="s">
        <v>190</v>
      </c>
      <c r="J2" s="24" t="s">
        <v>191</v>
      </c>
      <c r="K2" s="24" t="s">
        <v>192</v>
      </c>
      <c r="L2" s="24" t="s">
        <v>193</v>
      </c>
      <c r="M2" s="24" t="s">
        <v>194</v>
      </c>
      <c r="N2" s="24" t="s">
        <v>195</v>
      </c>
      <c r="O2" s="24" t="s">
        <v>196</v>
      </c>
      <c r="P2" s="24" t="s">
        <v>197</v>
      </c>
      <c r="Q2" s="24" t="s">
        <v>198</v>
      </c>
      <c r="R2" s="24" t="s">
        <v>199</v>
      </c>
    </row>
    <row r="3" spans="1:33" x14ac:dyDescent="0.15">
      <c r="A3" s="24" t="s">
        <v>6</v>
      </c>
      <c r="B3" s="24" t="s">
        <v>203</v>
      </c>
      <c r="C3" s="24" t="s">
        <v>200</v>
      </c>
      <c r="D3" s="24" t="s">
        <v>204</v>
      </c>
      <c r="E3" s="24" t="s">
        <v>205</v>
      </c>
      <c r="F3" s="24" t="s">
        <v>206</v>
      </c>
      <c r="G3" s="24" t="s">
        <v>207</v>
      </c>
      <c r="H3" s="24" t="s">
        <v>208</v>
      </c>
      <c r="I3" s="24" t="s">
        <v>209</v>
      </c>
      <c r="J3" s="24" t="s">
        <v>210</v>
      </c>
      <c r="K3" s="24" t="s">
        <v>211</v>
      </c>
      <c r="L3" s="24" t="s">
        <v>212</v>
      </c>
      <c r="M3" s="24" t="s">
        <v>213</v>
      </c>
      <c r="N3" s="24" t="s">
        <v>214</v>
      </c>
      <c r="O3" s="24" t="s">
        <v>215</v>
      </c>
      <c r="P3" s="24" t="s">
        <v>216</v>
      </c>
      <c r="Q3" s="24" t="s">
        <v>217</v>
      </c>
      <c r="R3" s="24" t="s">
        <v>218</v>
      </c>
    </row>
    <row r="4" spans="1:33" x14ac:dyDescent="0.15">
      <c r="A4" s="26" t="s">
        <v>40</v>
      </c>
      <c r="B4" s="27">
        <f t="shared" ref="B4:R4" si="0">RTD("em.rtq",,B2,"Time")</f>
        <v>0</v>
      </c>
      <c r="C4" s="27">
        <f t="shared" si="0"/>
        <v>0</v>
      </c>
      <c r="D4" s="27">
        <f t="shared" si="0"/>
        <v>0</v>
      </c>
      <c r="E4" s="27">
        <f t="shared" si="0"/>
        <v>0</v>
      </c>
      <c r="F4" s="27">
        <f t="shared" si="0"/>
        <v>0</v>
      </c>
      <c r="G4" s="27">
        <f t="shared" si="0"/>
        <v>0</v>
      </c>
      <c r="H4" s="27">
        <f t="shared" si="0"/>
        <v>0</v>
      </c>
      <c r="I4" s="27">
        <f t="shared" si="0"/>
        <v>0</v>
      </c>
      <c r="J4" s="27">
        <f t="shared" si="0"/>
        <v>0</v>
      </c>
      <c r="K4" s="27">
        <f t="shared" si="0"/>
        <v>0</v>
      </c>
      <c r="L4" s="27">
        <f t="shared" si="0"/>
        <v>0</v>
      </c>
      <c r="M4" s="27">
        <f t="shared" si="0"/>
        <v>0</v>
      </c>
      <c r="N4" s="27">
        <f t="shared" si="0"/>
        <v>0</v>
      </c>
      <c r="O4" s="27">
        <f t="shared" si="0"/>
        <v>0</v>
      </c>
      <c r="P4" s="27">
        <f t="shared" si="0"/>
        <v>0</v>
      </c>
      <c r="Q4" s="27">
        <f t="shared" si="0"/>
        <v>0</v>
      </c>
      <c r="R4" s="27">
        <f t="shared" si="0"/>
        <v>0</v>
      </c>
    </row>
    <row r="5" spans="1:33" x14ac:dyDescent="0.15">
      <c r="A5" s="26" t="s">
        <v>41</v>
      </c>
      <c r="B5" s="26">
        <f t="shared" ref="B5:R5" si="1">RTD("em.rtq",,B2,"Now")</f>
        <v>0</v>
      </c>
      <c r="C5" s="26">
        <f t="shared" si="1"/>
        <v>0</v>
      </c>
      <c r="D5" s="26">
        <f t="shared" si="1"/>
        <v>0</v>
      </c>
      <c r="E5" s="26">
        <f t="shared" si="1"/>
        <v>0</v>
      </c>
      <c r="F5" s="26">
        <f t="shared" si="1"/>
        <v>0</v>
      </c>
      <c r="G5" s="26">
        <f t="shared" si="1"/>
        <v>0</v>
      </c>
      <c r="H5" s="26">
        <f t="shared" si="1"/>
        <v>0</v>
      </c>
      <c r="I5" s="26">
        <f t="shared" si="1"/>
        <v>0</v>
      </c>
      <c r="J5" s="26">
        <f t="shared" si="1"/>
        <v>0</v>
      </c>
      <c r="K5" s="26">
        <f t="shared" si="1"/>
        <v>0</v>
      </c>
      <c r="L5" s="26">
        <f t="shared" si="1"/>
        <v>0</v>
      </c>
      <c r="M5" s="26">
        <f t="shared" si="1"/>
        <v>0</v>
      </c>
      <c r="N5" s="26">
        <f t="shared" si="1"/>
        <v>0</v>
      </c>
      <c r="O5" s="26">
        <f t="shared" si="1"/>
        <v>0</v>
      </c>
      <c r="P5" s="26">
        <f t="shared" si="1"/>
        <v>0</v>
      </c>
      <c r="Q5" s="26">
        <f t="shared" si="1"/>
        <v>0</v>
      </c>
      <c r="R5" s="26">
        <f t="shared" si="1"/>
        <v>0</v>
      </c>
    </row>
    <row r="6" spans="1:33" x14ac:dyDescent="0.15">
      <c r="A6" s="26" t="s">
        <v>143</v>
      </c>
      <c r="B6" s="26">
        <f t="shared" ref="B6:R6" si="2">RTD("em.rtq",,B2,"DifferRange")</f>
        <v>0</v>
      </c>
      <c r="C6" s="26">
        <f t="shared" si="2"/>
        <v>0</v>
      </c>
      <c r="D6" s="26">
        <f t="shared" si="2"/>
        <v>0</v>
      </c>
      <c r="E6" s="26">
        <f t="shared" si="2"/>
        <v>0</v>
      </c>
      <c r="F6" s="26">
        <f t="shared" si="2"/>
        <v>0</v>
      </c>
      <c r="G6" s="26">
        <f t="shared" si="2"/>
        <v>0</v>
      </c>
      <c r="H6" s="26">
        <f t="shared" si="2"/>
        <v>0</v>
      </c>
      <c r="I6" s="26">
        <f t="shared" si="2"/>
        <v>0</v>
      </c>
      <c r="J6" s="26">
        <f t="shared" si="2"/>
        <v>0</v>
      </c>
      <c r="K6" s="26">
        <f t="shared" si="2"/>
        <v>0</v>
      </c>
      <c r="L6" s="26">
        <f t="shared" si="2"/>
        <v>0</v>
      </c>
      <c r="M6" s="26">
        <f t="shared" si="2"/>
        <v>0</v>
      </c>
      <c r="N6" s="26">
        <f t="shared" si="2"/>
        <v>0</v>
      </c>
      <c r="O6" s="26">
        <f t="shared" si="2"/>
        <v>0</v>
      </c>
      <c r="P6" s="26">
        <f t="shared" si="2"/>
        <v>0</v>
      </c>
      <c r="Q6" s="26">
        <f t="shared" si="2"/>
        <v>0</v>
      </c>
      <c r="R6" s="26">
        <f t="shared" si="2"/>
        <v>0</v>
      </c>
    </row>
    <row r="8" spans="1:33" x14ac:dyDescent="0.15">
      <c r="A8" s="58" t="s">
        <v>252</v>
      </c>
    </row>
    <row r="11" spans="1:33" x14ac:dyDescent="0.15">
      <c r="A11" s="24" t="s">
        <v>5</v>
      </c>
      <c r="B11" s="24" t="s">
        <v>253</v>
      </c>
      <c r="C11" s="24" t="s">
        <v>254</v>
      </c>
      <c r="D11" s="24" t="s">
        <v>255</v>
      </c>
      <c r="E11" s="24" t="s">
        <v>256</v>
      </c>
      <c r="F11" s="24" t="s">
        <v>257</v>
      </c>
      <c r="G11" s="24" t="s">
        <v>258</v>
      </c>
      <c r="H11" s="24" t="s">
        <v>259</v>
      </c>
      <c r="I11" s="24" t="s">
        <v>260</v>
      </c>
      <c r="J11" s="24" t="s">
        <v>261</v>
      </c>
      <c r="K11" s="24" t="s">
        <v>262</v>
      </c>
      <c r="L11" s="24" t="s">
        <v>263</v>
      </c>
      <c r="M11" s="24" t="s">
        <v>264</v>
      </c>
      <c r="N11" s="24" t="s">
        <v>265</v>
      </c>
      <c r="O11" s="24" t="s">
        <v>266</v>
      </c>
      <c r="P11" s="24" t="s">
        <v>267</v>
      </c>
      <c r="Q11" s="24" t="s">
        <v>268</v>
      </c>
      <c r="R11" s="24" t="s">
        <v>269</v>
      </c>
      <c r="S11" s="24" t="s">
        <v>270</v>
      </c>
      <c r="T11" s="24" t="s">
        <v>271</v>
      </c>
      <c r="U11" s="24" t="s">
        <v>272</v>
      </c>
      <c r="V11" s="24" t="s">
        <v>273</v>
      </c>
      <c r="W11" s="24" t="s">
        <v>274</v>
      </c>
      <c r="X11" s="24" t="s">
        <v>275</v>
      </c>
      <c r="Y11" s="24" t="s">
        <v>276</v>
      </c>
      <c r="Z11" s="24" t="s">
        <v>277</v>
      </c>
      <c r="AA11" s="24" t="s">
        <v>278</v>
      </c>
      <c r="AB11" s="24" t="s">
        <v>279</v>
      </c>
      <c r="AC11" s="24" t="s">
        <v>280</v>
      </c>
      <c r="AD11" s="24" t="s">
        <v>281</v>
      </c>
      <c r="AE11" s="24" t="s">
        <v>282</v>
      </c>
      <c r="AF11" s="24" t="s">
        <v>283</v>
      </c>
      <c r="AG11" s="24" t="s">
        <v>284</v>
      </c>
    </row>
    <row r="12" spans="1:33" x14ac:dyDescent="0.15">
      <c r="A12" s="24" t="s">
        <v>6</v>
      </c>
      <c r="B12" s="24" t="s">
        <v>285</v>
      </c>
      <c r="C12" s="24" t="s">
        <v>286</v>
      </c>
      <c r="D12" s="24" t="s">
        <v>287</v>
      </c>
      <c r="E12" s="24" t="s">
        <v>288</v>
      </c>
      <c r="F12" s="24" t="s">
        <v>289</v>
      </c>
      <c r="G12" s="24" t="s">
        <v>290</v>
      </c>
      <c r="H12" s="24" t="s">
        <v>291</v>
      </c>
      <c r="I12" s="24" t="s">
        <v>292</v>
      </c>
      <c r="J12" s="24" t="s">
        <v>293</v>
      </c>
      <c r="K12" s="24" t="s">
        <v>294</v>
      </c>
      <c r="L12" s="24" t="s">
        <v>295</v>
      </c>
      <c r="M12" s="24" t="s">
        <v>296</v>
      </c>
      <c r="N12" s="24" t="s">
        <v>297</v>
      </c>
      <c r="O12" s="24" t="s">
        <v>298</v>
      </c>
      <c r="P12" s="24" t="s">
        <v>299</v>
      </c>
      <c r="Q12" s="24" t="s">
        <v>300</v>
      </c>
      <c r="R12" s="24" t="s">
        <v>301</v>
      </c>
      <c r="S12" s="24" t="s">
        <v>302</v>
      </c>
      <c r="T12" s="24" t="s">
        <v>303</v>
      </c>
      <c r="U12" s="24" t="s">
        <v>304</v>
      </c>
      <c r="V12" s="24" t="s">
        <v>305</v>
      </c>
      <c r="W12" s="24" t="s">
        <v>306</v>
      </c>
      <c r="X12" s="24" t="s">
        <v>307</v>
      </c>
      <c r="Y12" s="24" t="s">
        <v>308</v>
      </c>
      <c r="Z12" s="24" t="s">
        <v>309</v>
      </c>
      <c r="AA12" s="24" t="s">
        <v>310</v>
      </c>
      <c r="AB12" s="24" t="s">
        <v>311</v>
      </c>
      <c r="AC12" s="24" t="s">
        <v>312</v>
      </c>
      <c r="AD12" s="24" t="s">
        <v>313</v>
      </c>
      <c r="AE12" s="24" t="s">
        <v>314</v>
      </c>
      <c r="AF12" s="24" t="s">
        <v>315</v>
      </c>
      <c r="AG12" s="24" t="s">
        <v>316</v>
      </c>
    </row>
    <row r="13" spans="1:33" x14ac:dyDescent="0.15">
      <c r="A13" s="26" t="s">
        <v>40</v>
      </c>
      <c r="B13" s="27">
        <f t="shared" ref="B13:AG13" si="3">RTD("em.rtq",,B11,"Time")</f>
        <v>0</v>
      </c>
      <c r="C13" s="27">
        <f t="shared" si="3"/>
        <v>0</v>
      </c>
      <c r="D13" s="27">
        <f t="shared" si="3"/>
        <v>0</v>
      </c>
      <c r="E13" s="27">
        <f t="shared" si="3"/>
        <v>0</v>
      </c>
      <c r="F13" s="27">
        <f t="shared" si="3"/>
        <v>0</v>
      </c>
      <c r="G13" s="27">
        <f t="shared" si="3"/>
        <v>0</v>
      </c>
      <c r="H13" s="27">
        <f t="shared" si="3"/>
        <v>0</v>
      </c>
      <c r="I13" s="27">
        <f t="shared" si="3"/>
        <v>0</v>
      </c>
      <c r="J13" s="27">
        <f t="shared" si="3"/>
        <v>0</v>
      </c>
      <c r="K13" s="27">
        <f t="shared" si="3"/>
        <v>0</v>
      </c>
      <c r="L13" s="27">
        <f t="shared" si="3"/>
        <v>0</v>
      </c>
      <c r="M13" s="27">
        <f t="shared" si="3"/>
        <v>0</v>
      </c>
      <c r="N13" s="27">
        <f t="shared" si="3"/>
        <v>0</v>
      </c>
      <c r="O13" s="27">
        <f t="shared" si="3"/>
        <v>0</v>
      </c>
      <c r="P13" s="27">
        <f t="shared" si="3"/>
        <v>0</v>
      </c>
      <c r="Q13" s="27">
        <f t="shared" si="3"/>
        <v>0</v>
      </c>
      <c r="R13" s="27">
        <f t="shared" si="3"/>
        <v>0</v>
      </c>
      <c r="S13" s="27">
        <f t="shared" si="3"/>
        <v>0</v>
      </c>
      <c r="T13" s="27">
        <f t="shared" si="3"/>
        <v>0</v>
      </c>
      <c r="U13" s="27">
        <f t="shared" si="3"/>
        <v>0</v>
      </c>
      <c r="V13" s="27">
        <f t="shared" si="3"/>
        <v>0</v>
      </c>
      <c r="W13" s="27">
        <f t="shared" si="3"/>
        <v>0</v>
      </c>
      <c r="X13" s="27">
        <f t="shared" si="3"/>
        <v>0</v>
      </c>
      <c r="Y13" s="27">
        <f t="shared" si="3"/>
        <v>0</v>
      </c>
      <c r="Z13" s="27">
        <f t="shared" si="3"/>
        <v>0</v>
      </c>
      <c r="AA13" s="27">
        <f t="shared" si="3"/>
        <v>0</v>
      </c>
      <c r="AB13" s="27">
        <f t="shared" si="3"/>
        <v>0</v>
      </c>
      <c r="AC13" s="27">
        <f t="shared" si="3"/>
        <v>0</v>
      </c>
      <c r="AD13" s="27">
        <f t="shared" si="3"/>
        <v>0</v>
      </c>
      <c r="AE13" s="27">
        <f t="shared" si="3"/>
        <v>0</v>
      </c>
      <c r="AF13" s="27">
        <f t="shared" si="3"/>
        <v>0</v>
      </c>
      <c r="AG13" s="27">
        <f t="shared" si="3"/>
        <v>0</v>
      </c>
    </row>
    <row r="14" spans="1:33" x14ac:dyDescent="0.15">
      <c r="A14" s="26" t="s">
        <v>41</v>
      </c>
      <c r="B14" s="26">
        <f t="shared" ref="B14:AG14" si="4">RTD("em.rtq",,B11,"Now")</f>
        <v>0</v>
      </c>
      <c r="C14" s="26">
        <f t="shared" si="4"/>
        <v>0</v>
      </c>
      <c r="D14" s="26">
        <f t="shared" si="4"/>
        <v>0</v>
      </c>
      <c r="E14" s="26">
        <f t="shared" si="4"/>
        <v>0</v>
      </c>
      <c r="F14" s="26">
        <f t="shared" si="4"/>
        <v>0</v>
      </c>
      <c r="G14" s="26">
        <f t="shared" si="4"/>
        <v>0</v>
      </c>
      <c r="H14" s="26">
        <f t="shared" si="4"/>
        <v>0</v>
      </c>
      <c r="I14" s="26">
        <f t="shared" si="4"/>
        <v>0</v>
      </c>
      <c r="J14" s="26">
        <f t="shared" si="4"/>
        <v>0</v>
      </c>
      <c r="K14" s="26">
        <f t="shared" si="4"/>
        <v>0</v>
      </c>
      <c r="L14" s="26">
        <f t="shared" si="4"/>
        <v>0</v>
      </c>
      <c r="M14" s="26">
        <f t="shared" si="4"/>
        <v>0</v>
      </c>
      <c r="N14" s="26">
        <f t="shared" si="4"/>
        <v>0</v>
      </c>
      <c r="O14" s="26">
        <f t="shared" si="4"/>
        <v>0</v>
      </c>
      <c r="P14" s="26">
        <f t="shared" si="4"/>
        <v>0</v>
      </c>
      <c r="Q14" s="26">
        <f t="shared" si="4"/>
        <v>0</v>
      </c>
      <c r="R14" s="26">
        <f t="shared" si="4"/>
        <v>0</v>
      </c>
      <c r="S14" s="26">
        <f t="shared" si="4"/>
        <v>0</v>
      </c>
      <c r="T14" s="26">
        <f t="shared" si="4"/>
        <v>0</v>
      </c>
      <c r="U14" s="26">
        <f t="shared" si="4"/>
        <v>0</v>
      </c>
      <c r="V14" s="26">
        <f t="shared" si="4"/>
        <v>0</v>
      </c>
      <c r="W14" s="26">
        <f t="shared" si="4"/>
        <v>0</v>
      </c>
      <c r="X14" s="26">
        <f t="shared" si="4"/>
        <v>0</v>
      </c>
      <c r="Y14" s="26">
        <f t="shared" si="4"/>
        <v>0</v>
      </c>
      <c r="Z14" s="26">
        <f t="shared" si="4"/>
        <v>0</v>
      </c>
      <c r="AA14" s="26">
        <f t="shared" si="4"/>
        <v>0</v>
      </c>
      <c r="AB14" s="26">
        <f t="shared" si="4"/>
        <v>0</v>
      </c>
      <c r="AC14" s="26">
        <f t="shared" si="4"/>
        <v>0</v>
      </c>
      <c r="AD14" s="26">
        <f t="shared" si="4"/>
        <v>0</v>
      </c>
      <c r="AE14" s="26">
        <f t="shared" si="4"/>
        <v>0</v>
      </c>
      <c r="AF14" s="26">
        <f t="shared" si="4"/>
        <v>0</v>
      </c>
      <c r="AG14" s="26">
        <f t="shared" si="4"/>
        <v>0</v>
      </c>
    </row>
    <row r="15" spans="1:33" x14ac:dyDescent="0.15">
      <c r="A15" s="26" t="s">
        <v>143</v>
      </c>
      <c r="B15" s="26">
        <f t="shared" ref="B15:AG15" si="5">RTD("em.rtq",,B11,"DifferRange")</f>
        <v>0</v>
      </c>
      <c r="C15" s="26">
        <f t="shared" si="5"/>
        <v>0</v>
      </c>
      <c r="D15" s="26">
        <f t="shared" si="5"/>
        <v>0</v>
      </c>
      <c r="E15" s="26">
        <f t="shared" si="5"/>
        <v>0</v>
      </c>
      <c r="F15" s="26">
        <f t="shared" si="5"/>
        <v>0</v>
      </c>
      <c r="G15" s="26">
        <f t="shared" si="5"/>
        <v>0</v>
      </c>
      <c r="H15" s="26">
        <f t="shared" si="5"/>
        <v>0</v>
      </c>
      <c r="I15" s="26">
        <f t="shared" si="5"/>
        <v>0</v>
      </c>
      <c r="J15" s="26">
        <f t="shared" si="5"/>
        <v>0</v>
      </c>
      <c r="K15" s="26">
        <f t="shared" si="5"/>
        <v>0</v>
      </c>
      <c r="L15" s="26">
        <f t="shared" si="5"/>
        <v>0</v>
      </c>
      <c r="M15" s="26">
        <f t="shared" si="5"/>
        <v>0</v>
      </c>
      <c r="N15" s="26">
        <f t="shared" si="5"/>
        <v>0</v>
      </c>
      <c r="O15" s="26">
        <f t="shared" si="5"/>
        <v>0</v>
      </c>
      <c r="P15" s="26">
        <f t="shared" si="5"/>
        <v>0</v>
      </c>
      <c r="Q15" s="26">
        <f t="shared" si="5"/>
        <v>0</v>
      </c>
      <c r="R15" s="26">
        <f t="shared" si="5"/>
        <v>0</v>
      </c>
      <c r="S15" s="26">
        <f t="shared" si="5"/>
        <v>0</v>
      </c>
      <c r="T15" s="26">
        <f t="shared" si="5"/>
        <v>0</v>
      </c>
      <c r="U15" s="26">
        <f t="shared" si="5"/>
        <v>0</v>
      </c>
      <c r="V15" s="26">
        <f t="shared" si="5"/>
        <v>0</v>
      </c>
      <c r="W15" s="26">
        <f t="shared" si="5"/>
        <v>0</v>
      </c>
      <c r="X15" s="26">
        <f t="shared" si="5"/>
        <v>0</v>
      </c>
      <c r="Y15" s="26">
        <f t="shared" si="5"/>
        <v>0</v>
      </c>
      <c r="Z15" s="26">
        <f t="shared" si="5"/>
        <v>0</v>
      </c>
      <c r="AA15" s="26">
        <f t="shared" si="5"/>
        <v>0</v>
      </c>
      <c r="AB15" s="26">
        <f t="shared" si="5"/>
        <v>0</v>
      </c>
      <c r="AC15" s="26">
        <f t="shared" si="5"/>
        <v>0</v>
      </c>
      <c r="AD15" s="26">
        <f t="shared" si="5"/>
        <v>0</v>
      </c>
      <c r="AE15" s="26">
        <f t="shared" si="5"/>
        <v>0</v>
      </c>
      <c r="AF15" s="26">
        <f t="shared" si="5"/>
        <v>0</v>
      </c>
      <c r="AG15" s="26">
        <f t="shared" si="5"/>
        <v>0</v>
      </c>
    </row>
  </sheetData>
  <phoneticPr fontId="3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53"/>
  <sheetViews>
    <sheetView workbookViewId="0">
      <selection activeCell="C34" sqref="C34"/>
    </sheetView>
  </sheetViews>
  <sheetFormatPr defaultColWidth="9" defaultRowHeight="13.5" x14ac:dyDescent="0.15"/>
  <cols>
    <col min="8" max="8" width="12.625"/>
    <col min="9" max="9" width="9.5" customWidth="1"/>
  </cols>
  <sheetData>
    <row r="1" spans="1:10" x14ac:dyDescent="0.15">
      <c r="A1" s="24" t="s">
        <v>5</v>
      </c>
      <c r="B1" s="24" t="s">
        <v>6</v>
      </c>
      <c r="C1" s="26" t="s">
        <v>40</v>
      </c>
      <c r="D1" s="26" t="s">
        <v>41</v>
      </c>
      <c r="E1" s="26" t="s">
        <v>143</v>
      </c>
      <c r="F1" s="26" t="s">
        <v>317</v>
      </c>
      <c r="G1" s="26" t="s">
        <v>318</v>
      </c>
      <c r="H1" s="26" t="s">
        <v>319</v>
      </c>
      <c r="I1" s="26" t="s">
        <v>320</v>
      </c>
      <c r="J1" s="26" t="s">
        <v>223</v>
      </c>
    </row>
    <row r="2" spans="1:10" x14ac:dyDescent="0.2">
      <c r="A2" s="24" t="s">
        <v>253</v>
      </c>
      <c r="B2" s="24" t="s">
        <v>285</v>
      </c>
      <c r="C2" s="27">
        <f t="shared" ref="C2:C49" si="0">RTD("em.rtq",,A2,"Time")</f>
        <v>0</v>
      </c>
      <c r="D2" s="26">
        <f t="shared" ref="D2:D49" si="1">RTD("em.rtq",,A2,"Now")</f>
        <v>0</v>
      </c>
      <c r="E2" s="26">
        <f t="shared" ref="E2:E49" si="2">RTD("em.rtq",,A2,"DifferRange")</f>
        <v>0</v>
      </c>
      <c r="F2">
        <v>8.91</v>
      </c>
      <c r="G2" s="70">
        <v>215.7</v>
      </c>
      <c r="H2">
        <f>D2/G2*F2</f>
        <v>0</v>
      </c>
      <c r="I2" s="73" t="e">
        <f>H2/$H$50*100</f>
        <v>#DIV/0!</v>
      </c>
      <c r="J2" s="59" t="e">
        <f>E2*I2/100</f>
        <v>#DIV/0!</v>
      </c>
    </row>
    <row r="3" spans="1:10" x14ac:dyDescent="0.2">
      <c r="A3" s="24" t="s">
        <v>254</v>
      </c>
      <c r="B3" s="24" t="s">
        <v>286</v>
      </c>
      <c r="C3" s="27">
        <f t="shared" si="0"/>
        <v>0</v>
      </c>
      <c r="D3" s="26">
        <f t="shared" si="1"/>
        <v>0</v>
      </c>
      <c r="E3" s="26">
        <f t="shared" si="2"/>
        <v>0</v>
      </c>
      <c r="F3">
        <v>6.82</v>
      </c>
      <c r="G3" s="70">
        <v>85.84</v>
      </c>
      <c r="H3">
        <f t="shared" ref="H3:H49" si="3">D3/G3*F3</f>
        <v>0</v>
      </c>
      <c r="I3" s="73" t="e">
        <f t="shared" ref="I3:I49" si="4">H3/$H$50*100</f>
        <v>#DIV/0!</v>
      </c>
      <c r="J3" s="59" t="e">
        <f t="shared" ref="J3:J49" si="5">E3*I3/100</f>
        <v>#DIV/0!</v>
      </c>
    </row>
    <row r="4" spans="1:10" x14ac:dyDescent="0.2">
      <c r="A4" s="24" t="s">
        <v>255</v>
      </c>
      <c r="B4" s="24" t="s">
        <v>287</v>
      </c>
      <c r="C4" s="27">
        <f t="shared" si="0"/>
        <v>0</v>
      </c>
      <c r="D4" s="26">
        <f t="shared" si="1"/>
        <v>0</v>
      </c>
      <c r="E4" s="26">
        <f t="shared" si="2"/>
        <v>0</v>
      </c>
      <c r="F4" s="71">
        <v>6.44</v>
      </c>
      <c r="G4" s="70">
        <v>60.18</v>
      </c>
      <c r="H4">
        <f t="shared" si="3"/>
        <v>0</v>
      </c>
      <c r="I4" s="73" t="e">
        <f t="shared" si="4"/>
        <v>#DIV/0!</v>
      </c>
      <c r="J4" s="59" t="e">
        <f t="shared" si="5"/>
        <v>#DIV/0!</v>
      </c>
    </row>
    <row r="5" spans="1:10" x14ac:dyDescent="0.2">
      <c r="A5" s="24" t="s">
        <v>256</v>
      </c>
      <c r="B5" s="24" t="s">
        <v>288</v>
      </c>
      <c r="C5" s="27">
        <f t="shared" si="0"/>
        <v>0</v>
      </c>
      <c r="D5" s="26">
        <f t="shared" si="1"/>
        <v>0</v>
      </c>
      <c r="E5" s="26">
        <f t="shared" si="2"/>
        <v>0</v>
      </c>
      <c r="F5" s="71">
        <v>4.3899999999999997</v>
      </c>
      <c r="G5" s="70">
        <v>46.32</v>
      </c>
      <c r="H5">
        <f t="shared" si="3"/>
        <v>0</v>
      </c>
      <c r="I5" s="73" t="e">
        <f t="shared" si="4"/>
        <v>#DIV/0!</v>
      </c>
      <c r="J5" s="59" t="e">
        <f t="shared" si="5"/>
        <v>#DIV/0!</v>
      </c>
    </row>
    <row r="6" spans="1:10" x14ac:dyDescent="0.2">
      <c r="A6" s="24" t="s">
        <v>257</v>
      </c>
      <c r="B6" s="24" t="s">
        <v>289</v>
      </c>
      <c r="C6" s="27">
        <f t="shared" si="0"/>
        <v>0</v>
      </c>
      <c r="D6" s="26">
        <f t="shared" si="1"/>
        <v>0</v>
      </c>
      <c r="E6" s="26">
        <f t="shared" si="2"/>
        <v>0</v>
      </c>
      <c r="F6" s="71">
        <v>3.81</v>
      </c>
      <c r="G6" s="70">
        <v>429.38</v>
      </c>
      <c r="H6">
        <f t="shared" si="3"/>
        <v>0</v>
      </c>
      <c r="I6" s="73" t="e">
        <f t="shared" si="4"/>
        <v>#DIV/0!</v>
      </c>
      <c r="J6" s="59" t="e">
        <f t="shared" si="5"/>
        <v>#DIV/0!</v>
      </c>
    </row>
    <row r="7" spans="1:10" x14ac:dyDescent="0.2">
      <c r="A7" s="24" t="s">
        <v>258</v>
      </c>
      <c r="B7" s="24" t="s">
        <v>290</v>
      </c>
      <c r="C7" s="27">
        <f t="shared" si="0"/>
        <v>0</v>
      </c>
      <c r="D7" s="26">
        <f t="shared" si="1"/>
        <v>0</v>
      </c>
      <c r="E7" s="26">
        <f t="shared" si="2"/>
        <v>0</v>
      </c>
      <c r="F7" s="71">
        <v>3.76</v>
      </c>
      <c r="G7" s="70">
        <v>68.38</v>
      </c>
      <c r="H7">
        <f t="shared" si="3"/>
        <v>0</v>
      </c>
      <c r="I7" s="73" t="e">
        <f t="shared" si="4"/>
        <v>#DIV/0!</v>
      </c>
      <c r="J7" s="59" t="e">
        <f t="shared" si="5"/>
        <v>#DIV/0!</v>
      </c>
    </row>
    <row r="8" spans="1:10" x14ac:dyDescent="0.2">
      <c r="A8" s="24" t="s">
        <v>259</v>
      </c>
      <c r="B8" s="24" t="s">
        <v>291</v>
      </c>
      <c r="C8" s="27">
        <f t="shared" si="0"/>
        <v>0</v>
      </c>
      <c r="D8" s="26">
        <f t="shared" si="1"/>
        <v>0</v>
      </c>
      <c r="E8" s="26">
        <f t="shared" si="2"/>
        <v>0</v>
      </c>
      <c r="F8" s="71">
        <v>3.71</v>
      </c>
      <c r="G8" s="70">
        <v>119.89</v>
      </c>
      <c r="H8">
        <f t="shared" si="3"/>
        <v>0</v>
      </c>
      <c r="I8" s="73" t="e">
        <f t="shared" si="4"/>
        <v>#DIV/0!</v>
      </c>
      <c r="J8" s="59" t="e">
        <f t="shared" si="5"/>
        <v>#DIV/0!</v>
      </c>
    </row>
    <row r="9" spans="1:10" x14ac:dyDescent="0.2">
      <c r="A9" s="24" t="s">
        <v>260</v>
      </c>
      <c r="B9" s="24" t="s">
        <v>292</v>
      </c>
      <c r="C9" s="27">
        <f t="shared" si="0"/>
        <v>0</v>
      </c>
      <c r="D9" s="26">
        <f t="shared" si="1"/>
        <v>0</v>
      </c>
      <c r="E9" s="26">
        <f t="shared" si="2"/>
        <v>0</v>
      </c>
      <c r="F9" s="71">
        <v>3.68</v>
      </c>
      <c r="G9" s="70">
        <v>19.91</v>
      </c>
      <c r="H9">
        <f t="shared" si="3"/>
        <v>0</v>
      </c>
      <c r="I9" s="73" t="e">
        <f t="shared" si="4"/>
        <v>#DIV/0!</v>
      </c>
      <c r="J9" s="59" t="e">
        <f t="shared" si="5"/>
        <v>#DIV/0!</v>
      </c>
    </row>
    <row r="10" spans="1:10" x14ac:dyDescent="0.2">
      <c r="A10" s="24" t="s">
        <v>261</v>
      </c>
      <c r="B10" s="24" t="s">
        <v>293</v>
      </c>
      <c r="C10" s="27">
        <f t="shared" si="0"/>
        <v>0</v>
      </c>
      <c r="D10" s="26">
        <f t="shared" si="1"/>
        <v>0</v>
      </c>
      <c r="E10" s="26">
        <f t="shared" si="2"/>
        <v>0</v>
      </c>
      <c r="F10" s="71">
        <v>3.18</v>
      </c>
      <c r="G10" s="70">
        <v>25.92</v>
      </c>
      <c r="H10">
        <f t="shared" si="3"/>
        <v>0</v>
      </c>
      <c r="I10" s="73" t="e">
        <f t="shared" si="4"/>
        <v>#DIV/0!</v>
      </c>
      <c r="J10" s="59" t="e">
        <f t="shared" si="5"/>
        <v>#DIV/0!</v>
      </c>
    </row>
    <row r="11" spans="1:10" x14ac:dyDescent="0.2">
      <c r="A11" s="24" t="s">
        <v>262</v>
      </c>
      <c r="B11" s="24" t="s">
        <v>294</v>
      </c>
      <c r="C11" s="27">
        <f t="shared" si="0"/>
        <v>0</v>
      </c>
      <c r="D11" s="26">
        <f t="shared" si="1"/>
        <v>0</v>
      </c>
      <c r="E11" s="26">
        <f t="shared" si="2"/>
        <v>0</v>
      </c>
      <c r="F11" s="71">
        <v>2.67</v>
      </c>
      <c r="G11" s="70">
        <v>23.19</v>
      </c>
      <c r="H11">
        <f t="shared" si="3"/>
        <v>0</v>
      </c>
      <c r="I11" s="73" t="e">
        <f t="shared" si="4"/>
        <v>#DIV/0!</v>
      </c>
      <c r="J11" s="59" t="e">
        <f t="shared" si="5"/>
        <v>#DIV/0!</v>
      </c>
    </row>
    <row r="12" spans="1:10" x14ac:dyDescent="0.2">
      <c r="A12" s="24" t="s">
        <v>263</v>
      </c>
      <c r="B12" s="24" t="s">
        <v>295</v>
      </c>
      <c r="C12" s="27">
        <f t="shared" si="0"/>
        <v>0</v>
      </c>
      <c r="D12" s="26">
        <f t="shared" si="1"/>
        <v>0</v>
      </c>
      <c r="E12" s="26">
        <f t="shared" si="2"/>
        <v>0</v>
      </c>
      <c r="F12" s="71">
        <v>2.66</v>
      </c>
      <c r="G12" s="70">
        <v>13.46</v>
      </c>
      <c r="H12">
        <f t="shared" si="3"/>
        <v>0</v>
      </c>
      <c r="I12" s="73" t="e">
        <f t="shared" si="4"/>
        <v>#DIV/0!</v>
      </c>
      <c r="J12" s="59" t="e">
        <f t="shared" si="5"/>
        <v>#DIV/0!</v>
      </c>
    </row>
    <row r="13" spans="1:10" x14ac:dyDescent="0.2">
      <c r="A13" s="24" t="s">
        <v>264</v>
      </c>
      <c r="B13" s="24" t="s">
        <v>296</v>
      </c>
      <c r="C13" s="27">
        <f t="shared" si="0"/>
        <v>0</v>
      </c>
      <c r="D13" s="26">
        <f t="shared" si="1"/>
        <v>0</v>
      </c>
      <c r="E13" s="26">
        <f t="shared" si="2"/>
        <v>0</v>
      </c>
      <c r="F13" s="71">
        <v>2.25</v>
      </c>
      <c r="G13" s="70">
        <v>59.99</v>
      </c>
      <c r="H13">
        <f t="shared" si="3"/>
        <v>0</v>
      </c>
      <c r="I13" s="73" t="e">
        <f t="shared" si="4"/>
        <v>#DIV/0!</v>
      </c>
      <c r="J13" s="59" t="e">
        <f t="shared" si="5"/>
        <v>#DIV/0!</v>
      </c>
    </row>
    <row r="14" spans="1:10" x14ac:dyDescent="0.2">
      <c r="A14" s="24" t="s">
        <v>265</v>
      </c>
      <c r="B14" s="24" t="s">
        <v>297</v>
      </c>
      <c r="C14" s="27">
        <f t="shared" si="0"/>
        <v>0</v>
      </c>
      <c r="D14" s="26">
        <f t="shared" si="1"/>
        <v>0</v>
      </c>
      <c r="E14" s="26">
        <f t="shared" si="2"/>
        <v>0</v>
      </c>
      <c r="F14" s="71">
        <v>2.2200000000000002</v>
      </c>
      <c r="G14" s="70">
        <v>53.94</v>
      </c>
      <c r="H14">
        <f t="shared" si="3"/>
        <v>0</v>
      </c>
      <c r="I14" s="73" t="e">
        <f t="shared" si="4"/>
        <v>#DIV/0!</v>
      </c>
      <c r="J14" s="59" t="e">
        <f t="shared" si="5"/>
        <v>#DIV/0!</v>
      </c>
    </row>
    <row r="15" spans="1:10" x14ac:dyDescent="0.2">
      <c r="A15" s="24" t="s">
        <v>266</v>
      </c>
      <c r="B15" s="24" t="s">
        <v>298</v>
      </c>
      <c r="C15" s="27">
        <f t="shared" si="0"/>
        <v>0</v>
      </c>
      <c r="D15" s="26">
        <f t="shared" si="1"/>
        <v>0</v>
      </c>
      <c r="E15" s="26">
        <f t="shared" si="2"/>
        <v>0</v>
      </c>
      <c r="F15" s="71">
        <v>1.91</v>
      </c>
      <c r="G15" s="70">
        <v>88.55</v>
      </c>
      <c r="H15">
        <f t="shared" si="3"/>
        <v>0</v>
      </c>
      <c r="I15" s="73" t="e">
        <f t="shared" si="4"/>
        <v>#DIV/0!</v>
      </c>
      <c r="J15" s="59" t="e">
        <f t="shared" si="5"/>
        <v>#DIV/0!</v>
      </c>
    </row>
    <row r="16" spans="1:10" x14ac:dyDescent="0.2">
      <c r="A16" s="24" t="s">
        <v>267</v>
      </c>
      <c r="B16" s="24" t="s">
        <v>299</v>
      </c>
      <c r="C16" s="27">
        <f t="shared" si="0"/>
        <v>0</v>
      </c>
      <c r="D16" s="26">
        <f t="shared" si="1"/>
        <v>0</v>
      </c>
      <c r="E16" s="26">
        <f t="shared" si="2"/>
        <v>0</v>
      </c>
      <c r="F16" s="71">
        <v>1.76</v>
      </c>
      <c r="G16" s="70">
        <v>75.5</v>
      </c>
      <c r="H16">
        <f t="shared" si="3"/>
        <v>0</v>
      </c>
      <c r="I16" s="73" t="e">
        <f t="shared" si="4"/>
        <v>#DIV/0!</v>
      </c>
      <c r="J16" s="59" t="e">
        <f t="shared" si="5"/>
        <v>#DIV/0!</v>
      </c>
    </row>
    <row r="17" spans="1:10" x14ac:dyDescent="0.2">
      <c r="A17" s="24" t="s">
        <v>268</v>
      </c>
      <c r="B17" s="24" t="s">
        <v>300</v>
      </c>
      <c r="C17" s="27">
        <f t="shared" si="0"/>
        <v>0</v>
      </c>
      <c r="D17" s="26">
        <f t="shared" si="1"/>
        <v>0</v>
      </c>
      <c r="E17" s="26">
        <f t="shared" si="2"/>
        <v>0</v>
      </c>
      <c r="F17" s="71">
        <v>1.1499999999999999</v>
      </c>
      <c r="G17" s="70">
        <v>17.48</v>
      </c>
      <c r="H17">
        <f t="shared" si="3"/>
        <v>0</v>
      </c>
      <c r="I17" s="73" t="e">
        <f t="shared" si="4"/>
        <v>#DIV/0!</v>
      </c>
      <c r="J17" s="59" t="e">
        <f t="shared" si="5"/>
        <v>#DIV/0!</v>
      </c>
    </row>
    <row r="18" spans="1:10" x14ac:dyDescent="0.2">
      <c r="A18" s="24" t="s">
        <v>269</v>
      </c>
      <c r="B18" s="24" t="s">
        <v>301</v>
      </c>
      <c r="C18" s="27">
        <f t="shared" si="0"/>
        <v>0</v>
      </c>
      <c r="D18" s="26">
        <f t="shared" si="1"/>
        <v>0</v>
      </c>
      <c r="E18" s="26">
        <f t="shared" si="2"/>
        <v>0</v>
      </c>
      <c r="F18" s="71">
        <v>0.94</v>
      </c>
      <c r="G18" s="70">
        <v>71.790000000000006</v>
      </c>
      <c r="H18">
        <f t="shared" si="3"/>
        <v>0</v>
      </c>
      <c r="I18" s="73" t="e">
        <f t="shared" si="4"/>
        <v>#DIV/0!</v>
      </c>
      <c r="J18" s="59" t="e">
        <f t="shared" si="5"/>
        <v>#DIV/0!</v>
      </c>
    </row>
    <row r="19" spans="1:10" x14ac:dyDescent="0.2">
      <c r="A19" s="24" t="s">
        <v>270</v>
      </c>
      <c r="B19" s="24" t="s">
        <v>302</v>
      </c>
      <c r="C19" s="27">
        <f t="shared" si="0"/>
        <v>0</v>
      </c>
      <c r="D19" s="26">
        <f t="shared" si="1"/>
        <v>0</v>
      </c>
      <c r="E19" s="26">
        <f t="shared" si="2"/>
        <v>0</v>
      </c>
      <c r="F19" s="71">
        <v>0.92</v>
      </c>
      <c r="G19" s="70">
        <v>35.909999999999997</v>
      </c>
      <c r="H19">
        <f t="shared" si="3"/>
        <v>0</v>
      </c>
      <c r="I19" s="73" t="e">
        <f t="shared" si="4"/>
        <v>#DIV/0!</v>
      </c>
      <c r="J19" s="59" t="e">
        <f t="shared" si="5"/>
        <v>#DIV/0!</v>
      </c>
    </row>
    <row r="20" spans="1:10" x14ac:dyDescent="0.2">
      <c r="A20" s="24" t="s">
        <v>271</v>
      </c>
      <c r="B20" s="24" t="s">
        <v>303</v>
      </c>
      <c r="C20" s="27">
        <f t="shared" si="0"/>
        <v>0</v>
      </c>
      <c r="D20" s="26">
        <f t="shared" si="1"/>
        <v>0</v>
      </c>
      <c r="E20" s="26">
        <f t="shared" si="2"/>
        <v>0</v>
      </c>
      <c r="F20" s="71">
        <v>0.9</v>
      </c>
      <c r="G20" s="70">
        <v>33.6</v>
      </c>
      <c r="H20">
        <f t="shared" si="3"/>
        <v>0</v>
      </c>
      <c r="I20" s="73" t="e">
        <f t="shared" si="4"/>
        <v>#DIV/0!</v>
      </c>
      <c r="J20" s="59" t="e">
        <f t="shared" si="5"/>
        <v>#DIV/0!</v>
      </c>
    </row>
    <row r="21" spans="1:10" x14ac:dyDescent="0.2">
      <c r="A21" s="24" t="s">
        <v>272</v>
      </c>
      <c r="B21" s="24" t="s">
        <v>304</v>
      </c>
      <c r="C21" s="27">
        <f t="shared" si="0"/>
        <v>0</v>
      </c>
      <c r="D21" s="26">
        <f t="shared" si="1"/>
        <v>0</v>
      </c>
      <c r="E21" s="26">
        <f t="shared" si="2"/>
        <v>0</v>
      </c>
      <c r="F21" s="71">
        <v>0.85</v>
      </c>
      <c r="G21" s="70">
        <v>23.86</v>
      </c>
      <c r="H21">
        <f t="shared" si="3"/>
        <v>0</v>
      </c>
      <c r="I21" s="73" t="e">
        <f t="shared" si="4"/>
        <v>#DIV/0!</v>
      </c>
      <c r="J21" s="59" t="e">
        <f t="shared" si="5"/>
        <v>#DIV/0!</v>
      </c>
    </row>
    <row r="22" spans="1:10" x14ac:dyDescent="0.2">
      <c r="A22" s="24" t="s">
        <v>273</v>
      </c>
      <c r="B22" s="24" t="s">
        <v>305</v>
      </c>
      <c r="C22" s="27">
        <f t="shared" si="0"/>
        <v>0</v>
      </c>
      <c r="D22" s="26">
        <f t="shared" si="1"/>
        <v>0</v>
      </c>
      <c r="E22" s="26">
        <f t="shared" si="2"/>
        <v>0</v>
      </c>
      <c r="F22" s="71">
        <v>0.72</v>
      </c>
      <c r="G22" s="70">
        <v>11.54</v>
      </c>
      <c r="H22">
        <f t="shared" si="3"/>
        <v>0</v>
      </c>
      <c r="I22" s="73" t="e">
        <f t="shared" si="4"/>
        <v>#DIV/0!</v>
      </c>
      <c r="J22" s="59" t="e">
        <f t="shared" si="5"/>
        <v>#DIV/0!</v>
      </c>
    </row>
    <row r="23" spans="1:10" x14ac:dyDescent="0.2">
      <c r="A23" s="24" t="s">
        <v>274</v>
      </c>
      <c r="B23" s="24" t="s">
        <v>306</v>
      </c>
      <c r="C23" s="27">
        <f t="shared" si="0"/>
        <v>0</v>
      </c>
      <c r="D23" s="26">
        <f t="shared" si="1"/>
        <v>0</v>
      </c>
      <c r="E23" s="26">
        <f t="shared" si="2"/>
        <v>0</v>
      </c>
      <c r="F23" s="71">
        <v>0.67</v>
      </c>
      <c r="G23" s="70">
        <v>38.450000000000003</v>
      </c>
      <c r="H23">
        <f t="shared" si="3"/>
        <v>0</v>
      </c>
      <c r="I23" s="73" t="e">
        <f t="shared" si="4"/>
        <v>#DIV/0!</v>
      </c>
      <c r="J23" s="59" t="e">
        <f t="shared" si="5"/>
        <v>#DIV/0!</v>
      </c>
    </row>
    <row r="24" spans="1:10" x14ac:dyDescent="0.2">
      <c r="A24" s="24" t="s">
        <v>275</v>
      </c>
      <c r="B24" s="24" t="s">
        <v>307</v>
      </c>
      <c r="C24" s="27">
        <f t="shared" si="0"/>
        <v>0</v>
      </c>
      <c r="D24" s="26">
        <f t="shared" si="1"/>
        <v>0</v>
      </c>
      <c r="E24" s="26">
        <f t="shared" si="2"/>
        <v>0</v>
      </c>
      <c r="F24" s="71">
        <v>0.53</v>
      </c>
      <c r="G24" s="70">
        <v>10.64</v>
      </c>
      <c r="H24">
        <f t="shared" si="3"/>
        <v>0</v>
      </c>
      <c r="I24" s="73" t="e">
        <f t="shared" si="4"/>
        <v>#DIV/0!</v>
      </c>
      <c r="J24" s="59" t="e">
        <f t="shared" si="5"/>
        <v>#DIV/0!</v>
      </c>
    </row>
    <row r="25" spans="1:10" x14ac:dyDescent="0.2">
      <c r="A25" s="24" t="s">
        <v>276</v>
      </c>
      <c r="B25" s="24" t="s">
        <v>308</v>
      </c>
      <c r="C25" s="27">
        <f t="shared" si="0"/>
        <v>0</v>
      </c>
      <c r="D25" s="26">
        <f t="shared" si="1"/>
        <v>0</v>
      </c>
      <c r="E25" s="26">
        <f t="shared" si="2"/>
        <v>0</v>
      </c>
      <c r="F25" s="71">
        <v>0.53</v>
      </c>
      <c r="G25" s="70">
        <v>18.260000000000002</v>
      </c>
      <c r="H25">
        <f t="shared" si="3"/>
        <v>0</v>
      </c>
      <c r="I25" s="73" t="e">
        <f t="shared" si="4"/>
        <v>#DIV/0!</v>
      </c>
      <c r="J25" s="59" t="e">
        <f t="shared" si="5"/>
        <v>#DIV/0!</v>
      </c>
    </row>
    <row r="26" spans="1:10" x14ac:dyDescent="0.2">
      <c r="A26" s="24" t="s">
        <v>277</v>
      </c>
      <c r="B26" s="24" t="s">
        <v>309</v>
      </c>
      <c r="C26" s="27">
        <f t="shared" si="0"/>
        <v>0</v>
      </c>
      <c r="D26" s="26">
        <f t="shared" si="1"/>
        <v>0</v>
      </c>
      <c r="E26" s="26">
        <f t="shared" si="2"/>
        <v>0</v>
      </c>
      <c r="F26" s="71">
        <v>0.48</v>
      </c>
      <c r="G26" s="70">
        <v>18.670000000000002</v>
      </c>
      <c r="H26">
        <f t="shared" si="3"/>
        <v>0</v>
      </c>
      <c r="I26" s="73" t="e">
        <f t="shared" si="4"/>
        <v>#DIV/0!</v>
      </c>
      <c r="J26" s="59" t="e">
        <f t="shared" si="5"/>
        <v>#DIV/0!</v>
      </c>
    </row>
    <row r="27" spans="1:10" x14ac:dyDescent="0.2">
      <c r="A27" s="24" t="s">
        <v>278</v>
      </c>
      <c r="B27" s="24" t="s">
        <v>310</v>
      </c>
      <c r="C27" s="27">
        <f t="shared" si="0"/>
        <v>0</v>
      </c>
      <c r="D27" s="26">
        <f t="shared" si="1"/>
        <v>0</v>
      </c>
      <c r="E27" s="26">
        <f t="shared" si="2"/>
        <v>0</v>
      </c>
      <c r="F27" s="71">
        <v>0.43</v>
      </c>
      <c r="G27" s="70">
        <v>20.010000000000002</v>
      </c>
      <c r="H27">
        <f t="shared" si="3"/>
        <v>0</v>
      </c>
      <c r="I27" s="73" t="e">
        <f t="shared" si="4"/>
        <v>#DIV/0!</v>
      </c>
      <c r="J27" s="59" t="e">
        <f t="shared" si="5"/>
        <v>#DIV/0!</v>
      </c>
    </row>
    <row r="28" spans="1:10" x14ac:dyDescent="0.2">
      <c r="A28" s="24" t="s">
        <v>279</v>
      </c>
      <c r="B28" s="24" t="s">
        <v>311</v>
      </c>
      <c r="C28" s="27">
        <f t="shared" si="0"/>
        <v>0</v>
      </c>
      <c r="D28" s="26">
        <f t="shared" si="1"/>
        <v>0</v>
      </c>
      <c r="E28" s="26">
        <f t="shared" si="2"/>
        <v>0</v>
      </c>
      <c r="F28" s="71">
        <v>0.34</v>
      </c>
      <c r="G28" s="70">
        <v>13.57</v>
      </c>
      <c r="H28">
        <f t="shared" si="3"/>
        <v>0</v>
      </c>
      <c r="I28" s="73" t="e">
        <f t="shared" si="4"/>
        <v>#DIV/0!</v>
      </c>
      <c r="J28" s="59" t="e">
        <f t="shared" si="5"/>
        <v>#DIV/0!</v>
      </c>
    </row>
    <row r="29" spans="1:10" x14ac:dyDescent="0.2">
      <c r="A29" s="24" t="s">
        <v>280</v>
      </c>
      <c r="B29" s="24" t="s">
        <v>312</v>
      </c>
      <c r="C29" s="27">
        <f t="shared" si="0"/>
        <v>0</v>
      </c>
      <c r="D29" s="26">
        <f t="shared" si="1"/>
        <v>0</v>
      </c>
      <c r="E29" s="26">
        <f t="shared" si="2"/>
        <v>0</v>
      </c>
      <c r="F29" s="71">
        <v>0.33</v>
      </c>
      <c r="G29" s="70">
        <v>37.5</v>
      </c>
      <c r="H29">
        <f t="shared" si="3"/>
        <v>0</v>
      </c>
      <c r="I29" s="73" t="e">
        <f t="shared" si="4"/>
        <v>#DIV/0!</v>
      </c>
      <c r="J29" s="59" t="e">
        <f t="shared" si="5"/>
        <v>#DIV/0!</v>
      </c>
    </row>
    <row r="30" spans="1:10" x14ac:dyDescent="0.2">
      <c r="A30" s="24" t="s">
        <v>281</v>
      </c>
      <c r="B30" s="24" t="s">
        <v>313</v>
      </c>
      <c r="C30" s="27">
        <f t="shared" si="0"/>
        <v>0</v>
      </c>
      <c r="D30" s="26">
        <f t="shared" si="1"/>
        <v>0</v>
      </c>
      <c r="E30" s="26">
        <f t="shared" si="2"/>
        <v>0</v>
      </c>
      <c r="F30" s="71">
        <v>0.3</v>
      </c>
      <c r="G30" s="70">
        <v>10.71</v>
      </c>
      <c r="H30">
        <f t="shared" si="3"/>
        <v>0</v>
      </c>
      <c r="I30" s="73" t="e">
        <f t="shared" si="4"/>
        <v>#DIV/0!</v>
      </c>
      <c r="J30" s="59" t="e">
        <f t="shared" si="5"/>
        <v>#DIV/0!</v>
      </c>
    </row>
    <row r="31" spans="1:10" x14ac:dyDescent="0.2">
      <c r="A31" s="24" t="s">
        <v>282</v>
      </c>
      <c r="B31" s="24" t="s">
        <v>314</v>
      </c>
      <c r="C31" s="27">
        <f t="shared" si="0"/>
        <v>0</v>
      </c>
      <c r="D31" s="26">
        <f t="shared" si="1"/>
        <v>0</v>
      </c>
      <c r="E31" s="26">
        <f t="shared" si="2"/>
        <v>0</v>
      </c>
      <c r="F31" s="71">
        <v>0.19</v>
      </c>
      <c r="G31" s="70">
        <v>4.18</v>
      </c>
      <c r="H31">
        <f t="shared" si="3"/>
        <v>0</v>
      </c>
      <c r="I31" s="73" t="e">
        <f t="shared" si="4"/>
        <v>#DIV/0!</v>
      </c>
      <c r="J31" s="59" t="e">
        <f t="shared" si="5"/>
        <v>#DIV/0!</v>
      </c>
    </row>
    <row r="32" spans="1:10" x14ac:dyDescent="0.2">
      <c r="A32" s="24" t="s">
        <v>283</v>
      </c>
      <c r="B32" s="24" t="s">
        <v>315</v>
      </c>
      <c r="C32" s="27">
        <f t="shared" si="0"/>
        <v>0</v>
      </c>
      <c r="D32" s="26">
        <f t="shared" si="1"/>
        <v>0</v>
      </c>
      <c r="E32" s="26">
        <f t="shared" si="2"/>
        <v>0</v>
      </c>
      <c r="F32" s="71">
        <v>0.17</v>
      </c>
      <c r="G32" s="70">
        <v>2.98</v>
      </c>
      <c r="H32">
        <f t="shared" si="3"/>
        <v>0</v>
      </c>
      <c r="I32" s="73" t="e">
        <f t="shared" si="4"/>
        <v>#DIV/0!</v>
      </c>
      <c r="J32" s="59" t="e">
        <f t="shared" si="5"/>
        <v>#DIV/0!</v>
      </c>
    </row>
    <row r="33" spans="1:10" x14ac:dyDescent="0.2">
      <c r="A33" s="24" t="s">
        <v>284</v>
      </c>
      <c r="B33" s="24" t="s">
        <v>316</v>
      </c>
      <c r="C33" s="27">
        <f t="shared" si="0"/>
        <v>0</v>
      </c>
      <c r="D33" s="26">
        <f t="shared" si="1"/>
        <v>0</v>
      </c>
      <c r="E33" s="26">
        <f t="shared" si="2"/>
        <v>0</v>
      </c>
      <c r="F33" s="71">
        <v>0.12</v>
      </c>
      <c r="G33" s="70">
        <v>1.7</v>
      </c>
      <c r="H33">
        <f t="shared" si="3"/>
        <v>0</v>
      </c>
      <c r="I33" s="73" t="e">
        <f t="shared" si="4"/>
        <v>#DIV/0!</v>
      </c>
      <c r="J33" s="59" t="e">
        <f t="shared" si="5"/>
        <v>#DIV/0!</v>
      </c>
    </row>
    <row r="34" spans="1:10" x14ac:dyDescent="0.2">
      <c r="A34" s="62" t="s">
        <v>184</v>
      </c>
      <c r="B34" s="62" t="s">
        <v>203</v>
      </c>
      <c r="C34" s="27">
        <f t="shared" si="0"/>
        <v>0</v>
      </c>
      <c r="D34" s="63">
        <f t="shared" si="1"/>
        <v>0</v>
      </c>
      <c r="E34" s="63">
        <f t="shared" si="2"/>
        <v>0</v>
      </c>
      <c r="F34" s="64">
        <v>9.44</v>
      </c>
      <c r="G34" s="70">
        <v>498.6</v>
      </c>
      <c r="H34">
        <f t="shared" si="3"/>
        <v>0</v>
      </c>
      <c r="I34" s="74" t="e">
        <f t="shared" si="4"/>
        <v>#DIV/0!</v>
      </c>
      <c r="J34" s="59" t="e">
        <f t="shared" si="5"/>
        <v>#DIV/0!</v>
      </c>
    </row>
    <row r="35" spans="1:10" x14ac:dyDescent="0.2">
      <c r="A35" s="62" t="s">
        <v>185</v>
      </c>
      <c r="B35" s="62" t="s">
        <v>204</v>
      </c>
      <c r="C35" s="27">
        <f t="shared" si="0"/>
        <v>0</v>
      </c>
      <c r="D35" s="63">
        <f t="shared" si="1"/>
        <v>0</v>
      </c>
      <c r="E35" s="63">
        <f t="shared" si="2"/>
        <v>0</v>
      </c>
      <c r="F35" s="64">
        <v>8.0399999999999991</v>
      </c>
      <c r="G35" s="70">
        <v>171.9</v>
      </c>
      <c r="H35">
        <f t="shared" si="3"/>
        <v>0</v>
      </c>
      <c r="I35" s="74" t="e">
        <f t="shared" si="4"/>
        <v>#DIV/0!</v>
      </c>
      <c r="J35" s="59" t="e">
        <f t="shared" si="5"/>
        <v>#DIV/0!</v>
      </c>
    </row>
    <row r="36" spans="1:10" x14ac:dyDescent="0.2">
      <c r="A36" s="62" t="s">
        <v>186</v>
      </c>
      <c r="B36" s="62" t="s">
        <v>205</v>
      </c>
      <c r="C36" s="27">
        <f t="shared" si="0"/>
        <v>0</v>
      </c>
      <c r="D36" s="63">
        <f t="shared" si="1"/>
        <v>0</v>
      </c>
      <c r="E36" s="63">
        <f t="shared" si="2"/>
        <v>0</v>
      </c>
      <c r="F36" s="64">
        <v>4.32</v>
      </c>
      <c r="G36" s="70">
        <v>22.6</v>
      </c>
      <c r="H36">
        <f t="shared" si="3"/>
        <v>0</v>
      </c>
      <c r="I36" s="74" t="e">
        <f t="shared" si="4"/>
        <v>#DIV/0!</v>
      </c>
      <c r="J36" s="59" t="e">
        <f t="shared" si="5"/>
        <v>#DIV/0!</v>
      </c>
    </row>
    <row r="37" spans="1:10" x14ac:dyDescent="0.2">
      <c r="A37" s="62" t="s">
        <v>187</v>
      </c>
      <c r="B37" s="62" t="s">
        <v>206</v>
      </c>
      <c r="C37" s="27">
        <f t="shared" si="0"/>
        <v>0</v>
      </c>
      <c r="D37" s="63">
        <f t="shared" si="1"/>
        <v>0</v>
      </c>
      <c r="E37" s="63">
        <f t="shared" si="2"/>
        <v>0</v>
      </c>
      <c r="F37" s="64">
        <v>2.5499999999999998</v>
      </c>
      <c r="G37" s="70">
        <v>117.9</v>
      </c>
      <c r="H37">
        <f t="shared" si="3"/>
        <v>0</v>
      </c>
      <c r="I37" s="74" t="e">
        <f t="shared" si="4"/>
        <v>#DIV/0!</v>
      </c>
      <c r="J37" s="59" t="e">
        <f t="shared" si="5"/>
        <v>#DIV/0!</v>
      </c>
    </row>
    <row r="38" spans="1:10" x14ac:dyDescent="0.2">
      <c r="A38" s="62" t="s">
        <v>188</v>
      </c>
      <c r="B38" s="62" t="s">
        <v>207</v>
      </c>
      <c r="C38" s="27">
        <f t="shared" si="0"/>
        <v>0</v>
      </c>
      <c r="D38" s="63">
        <f t="shared" si="1"/>
        <v>0</v>
      </c>
      <c r="E38" s="63">
        <f t="shared" si="2"/>
        <v>0</v>
      </c>
      <c r="F38" s="64">
        <v>1.66</v>
      </c>
      <c r="G38" s="70">
        <v>36.049999999999997</v>
      </c>
      <c r="H38">
        <f t="shared" si="3"/>
        <v>0</v>
      </c>
      <c r="I38" s="74" t="e">
        <f t="shared" si="4"/>
        <v>#DIV/0!</v>
      </c>
      <c r="J38" s="59" t="e">
        <f t="shared" si="5"/>
        <v>#DIV/0!</v>
      </c>
    </row>
    <row r="39" spans="1:10" x14ac:dyDescent="0.2">
      <c r="A39" s="62" t="s">
        <v>189</v>
      </c>
      <c r="B39" s="62" t="s">
        <v>208</v>
      </c>
      <c r="C39" s="27">
        <f t="shared" si="0"/>
        <v>0</v>
      </c>
      <c r="D39" s="63">
        <f t="shared" si="1"/>
        <v>0</v>
      </c>
      <c r="E39" s="63">
        <f t="shared" si="2"/>
        <v>0</v>
      </c>
      <c r="F39" s="64">
        <v>1.34</v>
      </c>
      <c r="G39" s="70">
        <v>52.2</v>
      </c>
      <c r="H39">
        <f t="shared" si="3"/>
        <v>0</v>
      </c>
      <c r="I39" s="74" t="e">
        <f t="shared" si="4"/>
        <v>#DIV/0!</v>
      </c>
      <c r="J39" s="59" t="e">
        <f t="shared" si="5"/>
        <v>#DIV/0!</v>
      </c>
    </row>
    <row r="40" spans="1:10" x14ac:dyDescent="0.2">
      <c r="A40" s="62" t="s">
        <v>190</v>
      </c>
      <c r="B40" s="62" t="s">
        <v>209</v>
      </c>
      <c r="C40" s="27">
        <f t="shared" si="0"/>
        <v>0</v>
      </c>
      <c r="D40" s="63">
        <f t="shared" si="1"/>
        <v>0</v>
      </c>
      <c r="E40" s="63">
        <f t="shared" si="2"/>
        <v>0</v>
      </c>
      <c r="F40" s="64">
        <v>0.89</v>
      </c>
      <c r="G40" s="70">
        <v>9.73</v>
      </c>
      <c r="H40">
        <f t="shared" si="3"/>
        <v>0</v>
      </c>
      <c r="I40" s="74" t="e">
        <f t="shared" si="4"/>
        <v>#DIV/0!</v>
      </c>
      <c r="J40" s="59" t="e">
        <f t="shared" si="5"/>
        <v>#DIV/0!</v>
      </c>
    </row>
    <row r="41" spans="1:10" x14ac:dyDescent="0.2">
      <c r="A41" s="62" t="s">
        <v>191</v>
      </c>
      <c r="B41" s="62" t="s">
        <v>210</v>
      </c>
      <c r="C41" s="27">
        <f t="shared" si="0"/>
        <v>0</v>
      </c>
      <c r="D41" s="63">
        <f t="shared" si="1"/>
        <v>0</v>
      </c>
      <c r="E41" s="63">
        <f t="shared" si="2"/>
        <v>0</v>
      </c>
      <c r="F41" s="72">
        <v>0.75</v>
      </c>
      <c r="G41" s="70">
        <v>13.96</v>
      </c>
      <c r="H41">
        <f t="shared" si="3"/>
        <v>0</v>
      </c>
      <c r="I41" s="74" t="e">
        <f t="shared" si="4"/>
        <v>#DIV/0!</v>
      </c>
      <c r="J41" s="59" t="e">
        <f t="shared" si="5"/>
        <v>#DIV/0!</v>
      </c>
    </row>
    <row r="42" spans="1:10" x14ac:dyDescent="0.2">
      <c r="A42" s="62" t="s">
        <v>192</v>
      </c>
      <c r="B42" s="62" t="s">
        <v>211</v>
      </c>
      <c r="C42" s="27">
        <f t="shared" si="0"/>
        <v>0</v>
      </c>
      <c r="D42" s="63">
        <f t="shared" si="1"/>
        <v>0</v>
      </c>
      <c r="E42" s="63">
        <f t="shared" si="2"/>
        <v>0</v>
      </c>
      <c r="F42" s="72">
        <v>0.73</v>
      </c>
      <c r="G42" s="70">
        <v>38.35</v>
      </c>
      <c r="H42">
        <f t="shared" si="3"/>
        <v>0</v>
      </c>
      <c r="I42" s="74" t="e">
        <f t="shared" si="4"/>
        <v>#DIV/0!</v>
      </c>
      <c r="J42" s="59" t="e">
        <f t="shared" si="5"/>
        <v>#DIV/0!</v>
      </c>
    </row>
    <row r="43" spans="1:10" x14ac:dyDescent="0.2">
      <c r="A43" s="62" t="s">
        <v>193</v>
      </c>
      <c r="B43" s="62" t="s">
        <v>212</v>
      </c>
      <c r="C43" s="27">
        <f t="shared" si="0"/>
        <v>0</v>
      </c>
      <c r="D43" s="63">
        <f t="shared" si="1"/>
        <v>0</v>
      </c>
      <c r="E43" s="63">
        <f t="shared" si="2"/>
        <v>0</v>
      </c>
      <c r="F43" s="72">
        <v>0.7</v>
      </c>
      <c r="G43" s="70">
        <v>1.03</v>
      </c>
      <c r="H43">
        <f t="shared" si="3"/>
        <v>0</v>
      </c>
      <c r="I43" s="74" t="e">
        <f t="shared" si="4"/>
        <v>#DIV/0!</v>
      </c>
      <c r="J43" s="59" t="e">
        <f t="shared" si="5"/>
        <v>#DIV/0!</v>
      </c>
    </row>
    <row r="44" spans="1:10" x14ac:dyDescent="0.2">
      <c r="A44" s="62" t="s">
        <v>194</v>
      </c>
      <c r="B44" s="62" t="s">
        <v>213</v>
      </c>
      <c r="C44" s="27">
        <f t="shared" si="0"/>
        <v>0</v>
      </c>
      <c r="D44" s="63">
        <f t="shared" si="1"/>
        <v>0</v>
      </c>
      <c r="E44" s="63">
        <f t="shared" si="2"/>
        <v>0</v>
      </c>
      <c r="F44" s="72">
        <v>0.59</v>
      </c>
      <c r="G44" s="70">
        <v>31.1</v>
      </c>
      <c r="H44">
        <f t="shared" si="3"/>
        <v>0</v>
      </c>
      <c r="I44" s="74" t="e">
        <f t="shared" si="4"/>
        <v>#DIV/0!</v>
      </c>
      <c r="J44" s="59" t="e">
        <f t="shared" si="5"/>
        <v>#DIV/0!</v>
      </c>
    </row>
    <row r="45" spans="1:10" x14ac:dyDescent="0.2">
      <c r="A45" s="62" t="s">
        <v>195</v>
      </c>
      <c r="B45" s="62" t="s">
        <v>214</v>
      </c>
      <c r="C45" s="27">
        <f t="shared" si="0"/>
        <v>0</v>
      </c>
      <c r="D45" s="63">
        <f t="shared" si="1"/>
        <v>0</v>
      </c>
      <c r="E45" s="63">
        <f t="shared" si="2"/>
        <v>0</v>
      </c>
      <c r="F45" s="72">
        <v>0.4</v>
      </c>
      <c r="G45" s="70">
        <v>11.82</v>
      </c>
      <c r="H45">
        <f t="shared" si="3"/>
        <v>0</v>
      </c>
      <c r="I45" s="74" t="e">
        <f t="shared" si="4"/>
        <v>#DIV/0!</v>
      </c>
      <c r="J45" s="59" t="e">
        <f t="shared" si="5"/>
        <v>#DIV/0!</v>
      </c>
    </row>
    <row r="46" spans="1:10" x14ac:dyDescent="0.2">
      <c r="A46" s="62" t="s">
        <v>196</v>
      </c>
      <c r="B46" s="62" t="s">
        <v>215</v>
      </c>
      <c r="C46" s="27">
        <f t="shared" si="0"/>
        <v>0</v>
      </c>
      <c r="D46" s="63">
        <f t="shared" si="1"/>
        <v>0</v>
      </c>
      <c r="E46" s="63">
        <f t="shared" si="2"/>
        <v>0</v>
      </c>
      <c r="F46" s="72">
        <v>0.31</v>
      </c>
      <c r="G46" s="70">
        <v>21.75</v>
      </c>
      <c r="H46">
        <f t="shared" si="3"/>
        <v>0</v>
      </c>
      <c r="I46" s="74" t="e">
        <f t="shared" si="4"/>
        <v>#DIV/0!</v>
      </c>
      <c r="J46" s="59" t="e">
        <f t="shared" si="5"/>
        <v>#DIV/0!</v>
      </c>
    </row>
    <row r="47" spans="1:10" x14ac:dyDescent="0.2">
      <c r="A47" s="62" t="s">
        <v>197</v>
      </c>
      <c r="B47" s="62" t="s">
        <v>216</v>
      </c>
      <c r="C47" s="27">
        <f t="shared" si="0"/>
        <v>0</v>
      </c>
      <c r="D47" s="63">
        <f t="shared" si="1"/>
        <v>0</v>
      </c>
      <c r="E47" s="63">
        <f t="shared" si="2"/>
        <v>0</v>
      </c>
      <c r="F47" s="72">
        <v>0.26</v>
      </c>
      <c r="G47" s="70">
        <v>29.8</v>
      </c>
      <c r="H47">
        <f t="shared" si="3"/>
        <v>0</v>
      </c>
      <c r="I47" s="74" t="e">
        <f t="shared" si="4"/>
        <v>#DIV/0!</v>
      </c>
      <c r="J47" s="59" t="e">
        <f t="shared" si="5"/>
        <v>#DIV/0!</v>
      </c>
    </row>
    <row r="48" spans="1:10" x14ac:dyDescent="0.2">
      <c r="A48" s="62" t="s">
        <v>198</v>
      </c>
      <c r="B48" s="62" t="s">
        <v>217</v>
      </c>
      <c r="C48" s="27">
        <f t="shared" si="0"/>
        <v>0</v>
      </c>
      <c r="D48" s="26">
        <f t="shared" si="1"/>
        <v>0</v>
      </c>
      <c r="E48" s="26">
        <f t="shared" si="2"/>
        <v>0</v>
      </c>
      <c r="F48" s="72">
        <v>0.17</v>
      </c>
      <c r="G48" s="70">
        <v>1.52</v>
      </c>
      <c r="H48">
        <f t="shared" si="3"/>
        <v>0</v>
      </c>
      <c r="I48" s="74" t="e">
        <f t="shared" si="4"/>
        <v>#DIV/0!</v>
      </c>
      <c r="J48" s="59" t="e">
        <f t="shared" si="5"/>
        <v>#DIV/0!</v>
      </c>
    </row>
    <row r="49" spans="1:10" x14ac:dyDescent="0.2">
      <c r="A49" s="62" t="s">
        <v>199</v>
      </c>
      <c r="B49" s="62" t="s">
        <v>218</v>
      </c>
      <c r="C49" s="27">
        <f t="shared" si="0"/>
        <v>0</v>
      </c>
      <c r="D49" s="26">
        <f t="shared" si="1"/>
        <v>0</v>
      </c>
      <c r="E49" s="26">
        <f t="shared" si="2"/>
        <v>0</v>
      </c>
      <c r="F49" s="72">
        <v>0.13</v>
      </c>
      <c r="G49" s="70">
        <v>17.18</v>
      </c>
      <c r="H49">
        <f t="shared" si="3"/>
        <v>0</v>
      </c>
      <c r="I49" s="74" t="e">
        <f t="shared" si="4"/>
        <v>#DIV/0!</v>
      </c>
      <c r="J49" s="59" t="e">
        <f t="shared" si="5"/>
        <v>#DIV/0!</v>
      </c>
    </row>
    <row r="50" spans="1:10" x14ac:dyDescent="0.15">
      <c r="F50">
        <f t="shared" ref="F50:J50" si="6">SUM(F2:F49)</f>
        <v>100.02000000000001</v>
      </c>
      <c r="H50">
        <f>SUM(H2:H49)</f>
        <v>0</v>
      </c>
      <c r="I50" s="59" t="e">
        <f t="shared" si="6"/>
        <v>#DIV/0!</v>
      </c>
      <c r="J50" s="59" t="e">
        <f t="shared" si="6"/>
        <v>#DIV/0!</v>
      </c>
    </row>
    <row r="51" spans="1:10" x14ac:dyDescent="0.15">
      <c r="G51" s="67" t="s">
        <v>321</v>
      </c>
      <c r="H51" s="68" t="e">
        <f>SUM(I34:I49)/100</f>
        <v>#DIV/0!</v>
      </c>
      <c r="I51" s="67" t="s">
        <v>322</v>
      </c>
      <c r="J51" s="69" t="e">
        <f>SUM(J34:J49)/100</f>
        <v>#DIV/0!</v>
      </c>
    </row>
    <row r="52" spans="1:10" x14ac:dyDescent="0.15">
      <c r="G52" s="67" t="s">
        <v>323</v>
      </c>
      <c r="H52" s="68" t="e">
        <f>SUM(I2:I33)/100</f>
        <v>#DIV/0!</v>
      </c>
      <c r="I52" s="67" t="s">
        <v>324</v>
      </c>
      <c r="J52" s="69" t="e">
        <f>SUM(J2:J33)/100</f>
        <v>#DIV/0!</v>
      </c>
    </row>
    <row r="53" spans="1:10" x14ac:dyDescent="0.15">
      <c r="I53" s="67" t="s">
        <v>221</v>
      </c>
      <c r="J53" s="69" t="e">
        <f>J50/100</f>
        <v>#DIV/0!</v>
      </c>
    </row>
  </sheetData>
  <phoneticPr fontId="3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L39"/>
  <sheetViews>
    <sheetView workbookViewId="0">
      <selection activeCell="K10" sqref="K10"/>
    </sheetView>
  </sheetViews>
  <sheetFormatPr defaultColWidth="9" defaultRowHeight="13.5" x14ac:dyDescent="0.15"/>
  <cols>
    <col min="8" max="8" width="12.625"/>
    <col min="9" max="9" width="9.5" customWidth="1"/>
    <col min="10" max="10" width="8.625" customWidth="1"/>
  </cols>
  <sheetData>
    <row r="2" spans="1:12" x14ac:dyDescent="0.15">
      <c r="A2" s="24" t="s">
        <v>5</v>
      </c>
      <c r="B2" s="24" t="s">
        <v>6</v>
      </c>
      <c r="C2" s="24" t="s">
        <v>40</v>
      </c>
      <c r="D2" s="24" t="s">
        <v>41</v>
      </c>
      <c r="E2" s="24" t="s">
        <v>143</v>
      </c>
      <c r="F2" s="26" t="s">
        <v>325</v>
      </c>
      <c r="G2" s="26" t="s">
        <v>326</v>
      </c>
      <c r="H2" s="26" t="s">
        <v>319</v>
      </c>
      <c r="I2" s="26" t="s">
        <v>320</v>
      </c>
      <c r="J2" s="26" t="s">
        <v>223</v>
      </c>
      <c r="K2" cm="1">
        <f t="array" ref="K2">get_T_germany_now_index()</f>
        <v>13251.2</v>
      </c>
      <c r="L2" cm="1">
        <f t="array" ref="L2">get_T_germany_ETF()</f>
        <v>1.125</v>
      </c>
    </row>
    <row r="3" spans="1:12" x14ac:dyDescent="0.15">
      <c r="A3" s="24" t="s">
        <v>253</v>
      </c>
      <c r="B3" s="26" t="s">
        <v>285</v>
      </c>
      <c r="C3" s="27">
        <f t="shared" ref="C3:C32" si="0">RTD("em.rtq",,A3,"Time")</f>
        <v>0</v>
      </c>
      <c r="D3" s="26">
        <f t="shared" ref="D3:D32" si="1">RTD("em.rtq",,A3,"Now")</f>
        <v>0</v>
      </c>
      <c r="E3" s="26">
        <f t="shared" ref="E3:E32" si="2">RTD("em.rtq",,A3,"DifferRange")</f>
        <v>0</v>
      </c>
      <c r="F3">
        <v>29.15</v>
      </c>
      <c r="G3">
        <v>242.5</v>
      </c>
      <c r="H3" s="59">
        <f>D3/G3*F3</f>
        <v>0</v>
      </c>
      <c r="I3" s="59" t="e">
        <f t="shared" ref="I3:I33" si="3">H3/$H$33*$F$33</f>
        <v>#DIV/0!</v>
      </c>
      <c r="J3" s="59" t="e">
        <f>I3*E3/100</f>
        <v>#DIV/0!</v>
      </c>
      <c r="K3" cm="1">
        <f t="array" ref="K3">get_T_na100_index()</f>
        <v>11378.12</v>
      </c>
      <c r="L3" t="e" cm="1">
        <f t="array" aca="1" ref="L3" ca="1">get_T_na161130_ETF()</f>
        <v>#NAME?</v>
      </c>
    </row>
    <row r="4" spans="1:12" x14ac:dyDescent="0.15">
      <c r="A4" s="24" t="s">
        <v>255</v>
      </c>
      <c r="B4" s="26" t="s">
        <v>287</v>
      </c>
      <c r="C4" s="27">
        <f t="shared" si="0"/>
        <v>0</v>
      </c>
      <c r="D4" s="26">
        <f t="shared" si="1"/>
        <v>0</v>
      </c>
      <c r="E4" s="26">
        <f t="shared" si="2"/>
        <v>0</v>
      </c>
      <c r="F4">
        <v>4.6100000000000003</v>
      </c>
      <c r="G4">
        <v>61.71</v>
      </c>
      <c r="H4" s="59">
        <f t="shared" ref="H4:H25" si="4">D4/G4*F4</f>
        <v>0</v>
      </c>
      <c r="I4" s="59" t="e">
        <f t="shared" si="3"/>
        <v>#DIV/0!</v>
      </c>
      <c r="J4" s="59" t="e">
        <f t="shared" ref="J4:J25" si="5">I4*E4/100</f>
        <v>#DIV/0!</v>
      </c>
      <c r="K4" cm="1">
        <f t="array" ref="K4">get_T_na100_index()</f>
        <v>11378.12</v>
      </c>
      <c r="L4" cm="1">
        <f t="array" ref="L4">get_T_na159941_ETF()</f>
        <v>2.75</v>
      </c>
    </row>
    <row r="5" spans="1:12" x14ac:dyDescent="0.15">
      <c r="A5" s="24" t="s">
        <v>254</v>
      </c>
      <c r="B5" s="26" t="s">
        <v>286</v>
      </c>
      <c r="C5" s="27">
        <f t="shared" si="0"/>
        <v>0</v>
      </c>
      <c r="D5" s="26">
        <f t="shared" si="1"/>
        <v>0</v>
      </c>
      <c r="E5" s="26">
        <f t="shared" si="2"/>
        <v>0</v>
      </c>
      <c r="F5">
        <v>4.16</v>
      </c>
      <c r="G5">
        <v>83.55</v>
      </c>
      <c r="H5" s="59">
        <f t="shared" si="4"/>
        <v>0</v>
      </c>
      <c r="I5" s="59" t="e">
        <f t="shared" si="3"/>
        <v>#DIV/0!</v>
      </c>
      <c r="J5" s="59" t="e">
        <f t="shared" si="5"/>
        <v>#DIV/0!</v>
      </c>
      <c r="K5" cm="1">
        <f t="array" ref="K5">get_T_biaopu500_index()</f>
        <v>3393.88</v>
      </c>
      <c r="L5" cm="1">
        <f t="array" ref="L5">get_T_biaopu500_ETF()</f>
        <v>2.2010000000000001</v>
      </c>
    </row>
    <row r="6" spans="1:12" x14ac:dyDescent="0.15">
      <c r="A6" s="24" t="s">
        <v>259</v>
      </c>
      <c r="B6" s="26" t="s">
        <v>291</v>
      </c>
      <c r="C6" s="27">
        <f t="shared" si="0"/>
        <v>0</v>
      </c>
      <c r="D6" s="26">
        <f t="shared" si="1"/>
        <v>0</v>
      </c>
      <c r="E6" s="26">
        <f t="shared" si="2"/>
        <v>0</v>
      </c>
      <c r="F6">
        <v>3.57</v>
      </c>
      <c r="G6">
        <v>123.43</v>
      </c>
      <c r="H6" s="59">
        <f t="shared" si="4"/>
        <v>0</v>
      </c>
      <c r="I6" s="59" t="e">
        <f t="shared" si="3"/>
        <v>#DIV/0!</v>
      </c>
      <c r="J6" s="59" t="e">
        <f t="shared" si="5"/>
        <v>#DIV/0!</v>
      </c>
      <c r="K6" cm="1">
        <f t="array" ref="K6">get_T_CAC_index()</f>
        <v>5042.9799999999996</v>
      </c>
      <c r="L6" cm="1">
        <f t="array" ref="L6">get_T_CAC_ETF()</f>
        <v>1.042</v>
      </c>
    </row>
    <row r="7" spans="1:12" x14ac:dyDescent="0.15">
      <c r="A7" s="24" t="s">
        <v>257</v>
      </c>
      <c r="B7" s="26" t="s">
        <v>289</v>
      </c>
      <c r="C7" s="27">
        <f t="shared" si="0"/>
        <v>0</v>
      </c>
      <c r="D7" s="26">
        <f t="shared" si="1"/>
        <v>0</v>
      </c>
      <c r="E7" s="26">
        <f t="shared" si="2"/>
        <v>0</v>
      </c>
      <c r="F7">
        <v>2.99</v>
      </c>
      <c r="G7">
        <v>450</v>
      </c>
      <c r="H7" s="59">
        <f t="shared" si="4"/>
        <v>0</v>
      </c>
      <c r="I7" s="59" t="e">
        <f t="shared" si="3"/>
        <v>#DIV/0!</v>
      </c>
      <c r="J7" s="59" t="e">
        <f t="shared" si="5"/>
        <v>#DIV/0!</v>
      </c>
      <c r="L7" t="s">
        <v>470</v>
      </c>
    </row>
    <row r="8" spans="1:12" x14ac:dyDescent="0.15">
      <c r="A8" s="24" t="s">
        <v>258</v>
      </c>
      <c r="B8" s="26" t="s">
        <v>290</v>
      </c>
      <c r="C8" s="27">
        <f t="shared" si="0"/>
        <v>0</v>
      </c>
      <c r="D8" s="26">
        <f t="shared" si="1"/>
        <v>0</v>
      </c>
      <c r="E8" s="26">
        <f t="shared" si="2"/>
        <v>0</v>
      </c>
      <c r="F8">
        <v>2.94</v>
      </c>
      <c r="G8">
        <v>72.64</v>
      </c>
      <c r="H8" s="59">
        <f t="shared" si="4"/>
        <v>0</v>
      </c>
      <c r="I8" s="59" t="e">
        <f t="shared" si="3"/>
        <v>#DIV/0!</v>
      </c>
      <c r="J8" s="59" t="e">
        <f t="shared" si="5"/>
        <v>#DIV/0!</v>
      </c>
    </row>
    <row r="9" spans="1:12" x14ac:dyDescent="0.15">
      <c r="A9" s="24" t="s">
        <v>261</v>
      </c>
      <c r="B9" s="26" t="s">
        <v>293</v>
      </c>
      <c r="C9" s="27">
        <f t="shared" si="0"/>
        <v>0</v>
      </c>
      <c r="D9" s="26">
        <f t="shared" si="1"/>
        <v>0</v>
      </c>
      <c r="E9" s="26">
        <f t="shared" si="2"/>
        <v>0</v>
      </c>
      <c r="F9">
        <v>1.35</v>
      </c>
      <c r="G9">
        <v>26.91</v>
      </c>
      <c r="H9" s="59">
        <f t="shared" si="4"/>
        <v>0</v>
      </c>
      <c r="I9" s="59" t="e">
        <f t="shared" si="3"/>
        <v>#DIV/0!</v>
      </c>
      <c r="J9" s="59" t="e">
        <f t="shared" si="5"/>
        <v>#DIV/0!</v>
      </c>
    </row>
    <row r="10" spans="1:12" x14ac:dyDescent="0.15">
      <c r="A10" s="24" t="s">
        <v>256</v>
      </c>
      <c r="B10" s="26" t="s">
        <v>288</v>
      </c>
      <c r="C10" s="27">
        <f t="shared" si="0"/>
        <v>0</v>
      </c>
      <c r="D10" s="26">
        <f t="shared" si="1"/>
        <v>0</v>
      </c>
      <c r="E10" s="26">
        <f t="shared" si="2"/>
        <v>0</v>
      </c>
      <c r="F10">
        <v>0.85</v>
      </c>
      <c r="G10">
        <v>42.54</v>
      </c>
      <c r="H10" s="59">
        <f t="shared" si="4"/>
        <v>0</v>
      </c>
      <c r="I10" s="59" t="e">
        <f t="shared" si="3"/>
        <v>#DIV/0!</v>
      </c>
      <c r="J10" s="59" t="e">
        <f t="shared" si="5"/>
        <v>#DIV/0!</v>
      </c>
    </row>
    <row r="11" spans="1:12" x14ac:dyDescent="0.15">
      <c r="A11" s="24" t="s">
        <v>265</v>
      </c>
      <c r="B11" s="26" t="s">
        <v>297</v>
      </c>
      <c r="C11" s="27">
        <f t="shared" si="0"/>
        <v>0</v>
      </c>
      <c r="D11" s="26">
        <f t="shared" si="1"/>
        <v>0</v>
      </c>
      <c r="E11" s="26">
        <f t="shared" si="2"/>
        <v>0</v>
      </c>
      <c r="F11" s="60">
        <v>0.99</v>
      </c>
      <c r="G11" s="61">
        <v>65.77</v>
      </c>
      <c r="H11" s="59">
        <f t="shared" si="4"/>
        <v>0</v>
      </c>
      <c r="I11" s="59" t="e">
        <f t="shared" si="3"/>
        <v>#DIV/0!</v>
      </c>
      <c r="J11" s="59" t="e">
        <f t="shared" si="5"/>
        <v>#DIV/0!</v>
      </c>
    </row>
    <row r="12" spans="1:12" x14ac:dyDescent="0.15">
      <c r="A12" s="24" t="s">
        <v>260</v>
      </c>
      <c r="B12" s="26" t="s">
        <v>292</v>
      </c>
      <c r="C12" s="27">
        <f t="shared" si="0"/>
        <v>0</v>
      </c>
      <c r="D12" s="26">
        <f t="shared" si="1"/>
        <v>0</v>
      </c>
      <c r="E12" s="26">
        <f t="shared" si="2"/>
        <v>0</v>
      </c>
      <c r="F12" s="60">
        <v>0.88</v>
      </c>
      <c r="G12" s="61">
        <v>14.47</v>
      </c>
      <c r="H12" s="59">
        <f t="shared" si="4"/>
        <v>0</v>
      </c>
      <c r="I12" s="59" t="e">
        <f t="shared" si="3"/>
        <v>#DIV/0!</v>
      </c>
      <c r="J12" s="59" t="e">
        <f t="shared" si="5"/>
        <v>#DIV/0!</v>
      </c>
    </row>
    <row r="13" spans="1:12" x14ac:dyDescent="0.15">
      <c r="A13" s="24" t="s">
        <v>262</v>
      </c>
      <c r="B13" s="26" t="s">
        <v>294</v>
      </c>
      <c r="C13" s="27">
        <f t="shared" si="0"/>
        <v>0</v>
      </c>
      <c r="D13" s="26">
        <f t="shared" si="1"/>
        <v>0</v>
      </c>
      <c r="E13" s="26">
        <f t="shared" si="2"/>
        <v>0</v>
      </c>
      <c r="F13" s="60">
        <v>0.81</v>
      </c>
      <c r="G13" s="61">
        <v>21.27</v>
      </c>
      <c r="H13" s="59">
        <f t="shared" si="4"/>
        <v>0</v>
      </c>
      <c r="I13" s="59" t="e">
        <f t="shared" si="3"/>
        <v>#DIV/0!</v>
      </c>
      <c r="J13" s="59" t="e">
        <f t="shared" si="5"/>
        <v>#DIV/0!</v>
      </c>
    </row>
    <row r="14" spans="1:12" x14ac:dyDescent="0.15">
      <c r="A14" s="24" t="s">
        <v>268</v>
      </c>
      <c r="B14" s="26" t="s">
        <v>300</v>
      </c>
      <c r="C14" s="27">
        <f t="shared" si="0"/>
        <v>0</v>
      </c>
      <c r="D14" s="26">
        <f t="shared" si="1"/>
        <v>0</v>
      </c>
      <c r="E14" s="26">
        <f t="shared" si="2"/>
        <v>0</v>
      </c>
      <c r="F14" s="60">
        <v>0.74</v>
      </c>
      <c r="G14" s="61">
        <v>34.04</v>
      </c>
      <c r="H14" s="59">
        <f t="shared" si="4"/>
        <v>0</v>
      </c>
      <c r="I14" s="59" t="e">
        <f t="shared" si="3"/>
        <v>#DIV/0!</v>
      </c>
      <c r="J14" s="59" t="e">
        <f t="shared" si="5"/>
        <v>#DIV/0!</v>
      </c>
    </row>
    <row r="15" spans="1:12" x14ac:dyDescent="0.15">
      <c r="A15" s="24" t="s">
        <v>267</v>
      </c>
      <c r="B15" s="26" t="s">
        <v>299</v>
      </c>
      <c r="C15" s="27">
        <f t="shared" si="0"/>
        <v>0</v>
      </c>
      <c r="D15" s="26">
        <f t="shared" si="1"/>
        <v>0</v>
      </c>
      <c r="E15" s="26">
        <f t="shared" si="2"/>
        <v>0</v>
      </c>
      <c r="F15" s="60">
        <v>0.63</v>
      </c>
      <c r="G15" s="61">
        <v>81.36</v>
      </c>
      <c r="H15" s="59">
        <f t="shared" si="4"/>
        <v>0</v>
      </c>
      <c r="I15" s="59" t="e">
        <f t="shared" si="3"/>
        <v>#DIV/0!</v>
      </c>
      <c r="J15" s="59" t="e">
        <f t="shared" si="5"/>
        <v>#DIV/0!</v>
      </c>
    </row>
    <row r="16" spans="1:12" x14ac:dyDescent="0.15">
      <c r="A16" s="24" t="s">
        <v>263</v>
      </c>
      <c r="B16" s="26" t="s">
        <v>295</v>
      </c>
      <c r="C16" s="27">
        <f t="shared" si="0"/>
        <v>0</v>
      </c>
      <c r="D16" s="26">
        <f t="shared" si="1"/>
        <v>0</v>
      </c>
      <c r="E16" s="26">
        <f t="shared" si="2"/>
        <v>0</v>
      </c>
      <c r="F16" s="60">
        <v>0.51</v>
      </c>
      <c r="G16" s="61">
        <v>11.67</v>
      </c>
      <c r="H16" s="59">
        <f t="shared" si="4"/>
        <v>0</v>
      </c>
      <c r="I16" s="59" t="e">
        <f t="shared" si="3"/>
        <v>#DIV/0!</v>
      </c>
      <c r="J16" s="59" t="e">
        <f t="shared" si="5"/>
        <v>#DIV/0!</v>
      </c>
    </row>
    <row r="17" spans="1:10" x14ac:dyDescent="0.15">
      <c r="A17" s="24" t="s">
        <v>266</v>
      </c>
      <c r="B17" s="26" t="s">
        <v>298</v>
      </c>
      <c r="C17" s="27">
        <f t="shared" si="0"/>
        <v>0</v>
      </c>
      <c r="D17" s="26">
        <f t="shared" si="1"/>
        <v>0</v>
      </c>
      <c r="E17" s="26">
        <f t="shared" si="2"/>
        <v>0</v>
      </c>
      <c r="F17" s="60">
        <v>0.45</v>
      </c>
      <c r="G17" s="61">
        <v>53.78</v>
      </c>
      <c r="H17" s="59">
        <f t="shared" si="4"/>
        <v>0</v>
      </c>
      <c r="I17" s="59" t="e">
        <f t="shared" si="3"/>
        <v>#DIV/0!</v>
      </c>
      <c r="J17" s="59" t="e">
        <f t="shared" si="5"/>
        <v>#DIV/0!</v>
      </c>
    </row>
    <row r="18" spans="1:10" x14ac:dyDescent="0.15">
      <c r="A18" s="24" t="s">
        <v>271</v>
      </c>
      <c r="B18" s="26" t="s">
        <v>303</v>
      </c>
      <c r="C18" s="27">
        <f t="shared" si="0"/>
        <v>0</v>
      </c>
      <c r="D18" s="26">
        <f t="shared" si="1"/>
        <v>0</v>
      </c>
      <c r="E18" s="26">
        <f t="shared" si="2"/>
        <v>0</v>
      </c>
      <c r="F18" s="60">
        <v>0.41</v>
      </c>
      <c r="G18" s="61">
        <v>46.34</v>
      </c>
      <c r="H18" s="59">
        <f t="shared" si="4"/>
        <v>0</v>
      </c>
      <c r="I18" s="59" t="e">
        <f t="shared" si="3"/>
        <v>#DIV/0!</v>
      </c>
      <c r="J18" s="59" t="e">
        <f t="shared" si="5"/>
        <v>#DIV/0!</v>
      </c>
    </row>
    <row r="19" spans="1:10" x14ac:dyDescent="0.15">
      <c r="A19" s="24" t="s">
        <v>269</v>
      </c>
      <c r="B19" s="26" t="s">
        <v>301</v>
      </c>
      <c r="C19" s="27">
        <f t="shared" si="0"/>
        <v>0</v>
      </c>
      <c r="D19" s="26">
        <f t="shared" si="1"/>
        <v>0</v>
      </c>
      <c r="E19" s="26">
        <f t="shared" si="2"/>
        <v>0</v>
      </c>
      <c r="F19" s="60">
        <v>0.37</v>
      </c>
      <c r="G19" s="61">
        <v>86.1</v>
      </c>
      <c r="H19" s="59">
        <f t="shared" si="4"/>
        <v>0</v>
      </c>
      <c r="I19" s="59" t="e">
        <f t="shared" si="3"/>
        <v>#DIV/0!</v>
      </c>
      <c r="J19" s="59" t="e">
        <f t="shared" si="5"/>
        <v>#DIV/0!</v>
      </c>
    </row>
    <row r="20" spans="1:10" x14ac:dyDescent="0.15">
      <c r="A20" s="24" t="s">
        <v>270</v>
      </c>
      <c r="B20" s="26" t="s">
        <v>302</v>
      </c>
      <c r="C20" s="27">
        <f t="shared" si="0"/>
        <v>0</v>
      </c>
      <c r="D20" s="26">
        <f t="shared" si="1"/>
        <v>0</v>
      </c>
      <c r="E20" s="26">
        <f t="shared" si="2"/>
        <v>0</v>
      </c>
      <c r="F20" s="60">
        <v>0.37</v>
      </c>
      <c r="G20" s="61">
        <v>37.19</v>
      </c>
      <c r="H20" s="59">
        <f t="shared" si="4"/>
        <v>0</v>
      </c>
      <c r="I20" s="59" t="e">
        <f t="shared" si="3"/>
        <v>#DIV/0!</v>
      </c>
      <c r="J20" s="59" t="e">
        <f t="shared" si="5"/>
        <v>#DIV/0!</v>
      </c>
    </row>
    <row r="21" spans="1:10" x14ac:dyDescent="0.15">
      <c r="A21" s="24" t="s">
        <v>264</v>
      </c>
      <c r="B21" s="26" t="s">
        <v>296</v>
      </c>
      <c r="C21" s="27">
        <f t="shared" si="0"/>
        <v>0</v>
      </c>
      <c r="D21" s="26">
        <f t="shared" si="1"/>
        <v>0</v>
      </c>
      <c r="E21" s="26">
        <f t="shared" si="2"/>
        <v>0</v>
      </c>
      <c r="F21" s="60">
        <v>0.27</v>
      </c>
      <c r="G21" s="61">
        <v>21.38</v>
      </c>
      <c r="H21" s="59">
        <f t="shared" si="4"/>
        <v>0</v>
      </c>
      <c r="I21" s="59" t="e">
        <f t="shared" si="3"/>
        <v>#DIV/0!</v>
      </c>
      <c r="J21" s="59" t="e">
        <f t="shared" si="5"/>
        <v>#DIV/0!</v>
      </c>
    </row>
    <row r="22" spans="1:10" x14ac:dyDescent="0.15">
      <c r="A22" s="24" t="s">
        <v>275</v>
      </c>
      <c r="B22" s="26" t="s">
        <v>307</v>
      </c>
      <c r="C22" s="27">
        <f t="shared" si="0"/>
        <v>0</v>
      </c>
      <c r="D22" s="26">
        <f t="shared" si="1"/>
        <v>0</v>
      </c>
      <c r="E22" s="26">
        <f t="shared" si="2"/>
        <v>0</v>
      </c>
      <c r="F22" s="60">
        <v>0.21</v>
      </c>
      <c r="G22" s="61">
        <v>13.94</v>
      </c>
      <c r="H22" s="59">
        <f t="shared" si="4"/>
        <v>0</v>
      </c>
      <c r="I22" s="59" t="e">
        <f t="shared" si="3"/>
        <v>#DIV/0!</v>
      </c>
      <c r="J22" s="59" t="e">
        <f t="shared" si="5"/>
        <v>#DIV/0!</v>
      </c>
    </row>
    <row r="23" spans="1:10" x14ac:dyDescent="0.15">
      <c r="A23" s="24" t="s">
        <v>274</v>
      </c>
      <c r="B23" s="26" t="s">
        <v>306</v>
      </c>
      <c r="C23" s="27">
        <f t="shared" si="0"/>
        <v>0</v>
      </c>
      <c r="D23" s="26">
        <f t="shared" si="1"/>
        <v>0</v>
      </c>
      <c r="E23" s="26">
        <f t="shared" si="2"/>
        <v>0</v>
      </c>
      <c r="F23" s="60">
        <v>0.19</v>
      </c>
      <c r="G23" s="61">
        <v>33.32</v>
      </c>
      <c r="H23" s="59">
        <f t="shared" si="4"/>
        <v>0</v>
      </c>
      <c r="I23" s="59" t="e">
        <f t="shared" si="3"/>
        <v>#DIV/0!</v>
      </c>
      <c r="J23" s="59" t="e">
        <f t="shared" si="5"/>
        <v>#DIV/0!</v>
      </c>
    </row>
    <row r="24" spans="1:10" x14ac:dyDescent="0.15">
      <c r="A24" s="24" t="s">
        <v>273</v>
      </c>
      <c r="B24" s="26" t="s">
        <v>305</v>
      </c>
      <c r="C24" s="27">
        <f t="shared" si="0"/>
        <v>0</v>
      </c>
      <c r="D24" s="26">
        <f t="shared" si="1"/>
        <v>0</v>
      </c>
      <c r="E24" s="26">
        <f t="shared" si="2"/>
        <v>0</v>
      </c>
      <c r="F24" s="60">
        <v>0.18</v>
      </c>
      <c r="G24" s="61">
        <v>8.36</v>
      </c>
      <c r="H24" s="59">
        <f t="shared" si="4"/>
        <v>0</v>
      </c>
      <c r="I24" s="59" t="e">
        <f t="shared" si="3"/>
        <v>#DIV/0!</v>
      </c>
      <c r="J24" s="59" t="e">
        <f t="shared" si="5"/>
        <v>#DIV/0!</v>
      </c>
    </row>
    <row r="25" spans="1:10" x14ac:dyDescent="0.15">
      <c r="A25" s="24" t="s">
        <v>278</v>
      </c>
      <c r="B25" s="26" t="s">
        <v>310</v>
      </c>
      <c r="C25" s="27">
        <f t="shared" si="0"/>
        <v>0</v>
      </c>
      <c r="D25" s="26">
        <f t="shared" si="1"/>
        <v>0</v>
      </c>
      <c r="E25" s="26">
        <f t="shared" si="2"/>
        <v>0</v>
      </c>
      <c r="F25" s="60">
        <v>0.18</v>
      </c>
      <c r="G25" s="61">
        <v>25.54</v>
      </c>
      <c r="H25" s="59">
        <f t="shared" si="4"/>
        <v>0</v>
      </c>
      <c r="I25" s="59" t="e">
        <f t="shared" si="3"/>
        <v>#DIV/0!</v>
      </c>
      <c r="J25" s="59" t="e">
        <f t="shared" si="5"/>
        <v>#DIV/0!</v>
      </c>
    </row>
    <row r="26" spans="1:10" x14ac:dyDescent="0.15">
      <c r="A26" s="62" t="s">
        <v>184</v>
      </c>
      <c r="B26" s="62" t="s">
        <v>203</v>
      </c>
      <c r="C26" s="27">
        <f t="shared" si="0"/>
        <v>0</v>
      </c>
      <c r="D26" s="63">
        <f t="shared" si="1"/>
        <v>0</v>
      </c>
      <c r="E26" s="63">
        <f t="shared" si="2"/>
        <v>0</v>
      </c>
      <c r="F26" s="64">
        <v>31.28</v>
      </c>
      <c r="G26">
        <v>513</v>
      </c>
      <c r="H26" s="59">
        <f t="shared" ref="H26:H32" si="6">D26/G26*F26</f>
        <v>0</v>
      </c>
      <c r="I26" s="59" t="e">
        <f t="shared" si="3"/>
        <v>#DIV/0!</v>
      </c>
      <c r="J26" s="59" t="e">
        <f t="shared" ref="J26:J32" si="7">I26*E26/100</f>
        <v>#DIV/0!</v>
      </c>
    </row>
    <row r="27" spans="1:10" x14ac:dyDescent="0.15">
      <c r="A27" s="62" t="s">
        <v>185</v>
      </c>
      <c r="B27" s="62" t="s">
        <v>204</v>
      </c>
      <c r="C27" s="27">
        <f t="shared" si="0"/>
        <v>0</v>
      </c>
      <c r="D27" s="63">
        <f t="shared" si="1"/>
        <v>0</v>
      </c>
      <c r="E27" s="63">
        <f t="shared" si="2"/>
        <v>0</v>
      </c>
      <c r="F27" s="64">
        <v>9.68</v>
      </c>
      <c r="G27">
        <v>185.1</v>
      </c>
      <c r="H27" s="59">
        <f t="shared" si="6"/>
        <v>0</v>
      </c>
      <c r="I27" s="59" t="e">
        <f t="shared" si="3"/>
        <v>#DIV/0!</v>
      </c>
      <c r="J27" s="59" t="e">
        <f t="shared" si="7"/>
        <v>#DIV/0!</v>
      </c>
    </row>
    <row r="28" spans="1:10" x14ac:dyDescent="0.15">
      <c r="A28" s="62" t="s">
        <v>193</v>
      </c>
      <c r="B28" s="62" t="s">
        <v>212</v>
      </c>
      <c r="C28" s="27">
        <f t="shared" si="0"/>
        <v>0</v>
      </c>
      <c r="D28" s="63">
        <f t="shared" si="1"/>
        <v>0</v>
      </c>
      <c r="E28" s="63">
        <f t="shared" si="2"/>
        <v>0</v>
      </c>
      <c r="F28" s="65">
        <v>0.31</v>
      </c>
      <c r="G28" s="61">
        <v>1.37</v>
      </c>
      <c r="H28" s="59">
        <f t="shared" si="6"/>
        <v>0</v>
      </c>
      <c r="I28" s="59" t="e">
        <f t="shared" si="3"/>
        <v>#DIV/0!</v>
      </c>
      <c r="J28" s="59" t="e">
        <f t="shared" si="7"/>
        <v>#DIV/0!</v>
      </c>
    </row>
    <row r="29" spans="1:10" x14ac:dyDescent="0.15">
      <c r="A29" s="62" t="s">
        <v>188</v>
      </c>
      <c r="B29" s="62" t="s">
        <v>207</v>
      </c>
      <c r="C29" s="27">
        <f t="shared" si="0"/>
        <v>0</v>
      </c>
      <c r="D29" s="63">
        <f t="shared" si="1"/>
        <v>0</v>
      </c>
      <c r="E29" s="63">
        <f t="shared" si="2"/>
        <v>0</v>
      </c>
      <c r="F29" s="66">
        <v>0.27</v>
      </c>
      <c r="G29" s="61">
        <v>20.65</v>
      </c>
      <c r="H29" s="59">
        <f t="shared" si="6"/>
        <v>0</v>
      </c>
      <c r="I29" s="59" t="e">
        <f t="shared" si="3"/>
        <v>#DIV/0!</v>
      </c>
      <c r="J29" s="59" t="e">
        <f t="shared" si="7"/>
        <v>#DIV/0!</v>
      </c>
    </row>
    <row r="30" spans="1:10" x14ac:dyDescent="0.15">
      <c r="A30" s="62" t="s">
        <v>189</v>
      </c>
      <c r="B30" s="62" t="s">
        <v>208</v>
      </c>
      <c r="C30" s="27">
        <f t="shared" si="0"/>
        <v>0</v>
      </c>
      <c r="D30" s="63">
        <f t="shared" si="1"/>
        <v>0</v>
      </c>
      <c r="E30" s="63">
        <f t="shared" si="2"/>
        <v>0</v>
      </c>
      <c r="F30" s="66">
        <v>0.23</v>
      </c>
      <c r="G30" s="61">
        <v>32.200000000000003</v>
      </c>
      <c r="H30" s="59">
        <f t="shared" si="6"/>
        <v>0</v>
      </c>
      <c r="I30" s="59" t="e">
        <f t="shared" si="3"/>
        <v>#DIV/0!</v>
      </c>
      <c r="J30" s="59" t="e">
        <f t="shared" si="7"/>
        <v>#DIV/0!</v>
      </c>
    </row>
    <row r="31" spans="1:10" x14ac:dyDescent="0.15">
      <c r="A31" s="62" t="s">
        <v>191</v>
      </c>
      <c r="B31" s="62" t="s">
        <v>210</v>
      </c>
      <c r="C31" s="27">
        <f t="shared" si="0"/>
        <v>0</v>
      </c>
      <c r="D31" s="63">
        <f t="shared" si="1"/>
        <v>0</v>
      </c>
      <c r="E31" s="63">
        <f t="shared" si="2"/>
        <v>0</v>
      </c>
      <c r="F31" s="65">
        <v>0.2</v>
      </c>
      <c r="G31" s="61">
        <v>13.4</v>
      </c>
      <c r="H31" s="59">
        <f t="shared" si="6"/>
        <v>0</v>
      </c>
      <c r="I31" s="59" t="e">
        <f t="shared" si="3"/>
        <v>#DIV/0!</v>
      </c>
      <c r="J31" s="59" t="e">
        <f t="shared" si="7"/>
        <v>#DIV/0!</v>
      </c>
    </row>
    <row r="32" spans="1:10" x14ac:dyDescent="0.15">
      <c r="A32" s="62" t="s">
        <v>192</v>
      </c>
      <c r="B32" s="62" t="s">
        <v>211</v>
      </c>
      <c r="C32" s="27">
        <f t="shared" si="0"/>
        <v>0</v>
      </c>
      <c r="D32" s="63">
        <f t="shared" si="1"/>
        <v>0</v>
      </c>
      <c r="E32" s="63">
        <f t="shared" si="2"/>
        <v>0</v>
      </c>
      <c r="F32" s="65">
        <v>0.17</v>
      </c>
      <c r="G32" s="61">
        <v>28.65</v>
      </c>
      <c r="H32" s="59">
        <f t="shared" si="6"/>
        <v>0</v>
      </c>
      <c r="I32" s="59" t="e">
        <f t="shared" si="3"/>
        <v>#DIV/0!</v>
      </c>
      <c r="J32" s="59" t="e">
        <f t="shared" si="7"/>
        <v>#DIV/0!</v>
      </c>
    </row>
    <row r="33" spans="6:10" x14ac:dyDescent="0.15">
      <c r="F33">
        <f>SUM(F3:F32)</f>
        <v>98.950000000000017</v>
      </c>
      <c r="H33">
        <f>SUM(H3:H32)</f>
        <v>0</v>
      </c>
      <c r="I33" s="59" t="e">
        <f t="shared" si="3"/>
        <v>#DIV/0!</v>
      </c>
      <c r="J33" s="59" t="e">
        <f>SUM(J3:J32)</f>
        <v>#DIV/0!</v>
      </c>
    </row>
    <row r="34" spans="6:10" x14ac:dyDescent="0.15">
      <c r="G34" s="67" t="s">
        <v>321</v>
      </c>
      <c r="H34" s="68" t="e">
        <f>SUM(I26:I32)/100</f>
        <v>#DIV/0!</v>
      </c>
      <c r="I34" s="67" t="s">
        <v>322</v>
      </c>
      <c r="J34" s="69" t="e">
        <f>SUM(J26:J32)/100</f>
        <v>#DIV/0!</v>
      </c>
    </row>
    <row r="35" spans="6:10" x14ac:dyDescent="0.15">
      <c r="G35" s="67" t="s">
        <v>323</v>
      </c>
      <c r="H35" s="68" t="e">
        <f>SUM(I3:I25)/100</f>
        <v>#DIV/0!</v>
      </c>
      <c r="I35" s="67" t="s">
        <v>324</v>
      </c>
      <c r="J35" s="69" t="e">
        <f>SUM(J3:J25)/100</f>
        <v>#DIV/0!</v>
      </c>
    </row>
    <row r="36" spans="6:10" x14ac:dyDescent="0.15">
      <c r="I36" s="67" t="s">
        <v>221</v>
      </c>
      <c r="J36" s="69" t="e">
        <f>J33/100</f>
        <v>#DIV/0!</v>
      </c>
    </row>
    <row r="38" spans="6:10" x14ac:dyDescent="0.15">
      <c r="F38" s="60"/>
      <c r="G38" s="61"/>
    </row>
    <row r="39" spans="6:10" x14ac:dyDescent="0.15">
      <c r="F39" s="38" t="s">
        <v>327</v>
      </c>
      <c r="G39" s="38" t="s">
        <v>328</v>
      </c>
    </row>
  </sheetData>
  <phoneticPr fontId="3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L36"/>
  <sheetViews>
    <sheetView workbookViewId="0">
      <selection activeCell="K10" sqref="K10"/>
    </sheetView>
  </sheetViews>
  <sheetFormatPr defaultColWidth="9" defaultRowHeight="13.5" x14ac:dyDescent="0.15"/>
  <cols>
    <col min="3" max="3" width="9.75" customWidth="1"/>
  </cols>
  <sheetData>
    <row r="2" spans="1:12" x14ac:dyDescent="0.15">
      <c r="A2" s="24" t="s">
        <v>5</v>
      </c>
      <c r="B2" s="24" t="s">
        <v>6</v>
      </c>
      <c r="C2" s="24" t="s">
        <v>40</v>
      </c>
      <c r="D2" s="24" t="s">
        <v>41</v>
      </c>
      <c r="E2" s="24" t="s">
        <v>143</v>
      </c>
      <c r="K2" cm="1">
        <f t="array" ref="K2">get_T_germany_now_index()</f>
        <v>13251.5</v>
      </c>
      <c r="L2" cm="1">
        <f t="array" ref="L2">get_T_germany_ETF()</f>
        <v>1.125</v>
      </c>
    </row>
    <row r="3" spans="1:12" x14ac:dyDescent="0.15">
      <c r="A3" s="24" t="s">
        <v>181</v>
      </c>
      <c r="B3" s="26" t="s">
        <v>200</v>
      </c>
      <c r="C3" s="27">
        <f>RTD("em.rtq",,A3,"Time")</f>
        <v>0</v>
      </c>
      <c r="D3" s="26">
        <f>RTD("em.rtq",,A3,"Now")</f>
        <v>0</v>
      </c>
      <c r="E3" s="26">
        <f>RTD("em.rtq",,A3,"DifferRange")</f>
        <v>0</v>
      </c>
      <c r="K3" cm="1">
        <f t="array" ref="K3">get_T_na100_index()</f>
        <v>11378.12</v>
      </c>
      <c r="L3" t="e" cm="1">
        <f t="array" aca="1" ref="L3" ca="1">get_T_na161130_ETF()</f>
        <v>#NAME?</v>
      </c>
    </row>
    <row r="4" spans="1:12" x14ac:dyDescent="0.15">
      <c r="A4" s="24" t="s">
        <v>182</v>
      </c>
      <c r="B4" s="26" t="s">
        <v>201</v>
      </c>
      <c r="C4" s="27">
        <f>RTD("em.rtq",,A4,"Time")</f>
        <v>0</v>
      </c>
      <c r="D4" s="26">
        <f>RTD("em.rtq",,A4,"Now")</f>
        <v>0</v>
      </c>
      <c r="E4" s="26">
        <f>RTD("em.rtq",,A4,"DifferRange")</f>
        <v>0</v>
      </c>
      <c r="K4" cm="1">
        <f t="array" ref="K4">get_T_na100_index()</f>
        <v>11378.12</v>
      </c>
      <c r="L4" cm="1">
        <f t="array" ref="L4">get_T_na159941_ETF()</f>
        <v>2.75</v>
      </c>
    </row>
    <row r="5" spans="1:12" x14ac:dyDescent="0.15">
      <c r="A5" s="24" t="s">
        <v>183</v>
      </c>
      <c r="B5" s="26" t="s">
        <v>202</v>
      </c>
      <c r="C5" s="27">
        <f>RTD("em.rtq",,A5,"Time")</f>
        <v>0</v>
      </c>
      <c r="D5" s="26">
        <f>RTD("em.rtq",,A5,"Now")</f>
        <v>0</v>
      </c>
      <c r="E5" s="26">
        <f>RTD("em.rtq",,A5,"DifferRange")</f>
        <v>0</v>
      </c>
      <c r="K5" cm="1">
        <f t="array" ref="K5">get_T_biaopu500_index()</f>
        <v>3393.88</v>
      </c>
      <c r="L5" cm="1">
        <f t="array" ref="L5">get_T_biaopu500_ETF()</f>
        <v>2.2010000000000001</v>
      </c>
    </row>
    <row r="6" spans="1:12" x14ac:dyDescent="0.15">
      <c r="K6" cm="1">
        <f t="array" ref="K6">get_T_CAC_index()</f>
        <v>5042.9799999999996</v>
      </c>
      <c r="L6" cm="1">
        <f t="array" ref="L6">get_T_CAC_ETF()</f>
        <v>1.042</v>
      </c>
    </row>
    <row r="7" spans="1:12" x14ac:dyDescent="0.15">
      <c r="A7" s="58" t="s">
        <v>252</v>
      </c>
      <c r="L7" t="s">
        <v>470</v>
      </c>
    </row>
    <row r="9" spans="1:12" x14ac:dyDescent="0.15">
      <c r="A9" s="24" t="s">
        <v>5</v>
      </c>
      <c r="B9" s="24" t="s">
        <v>6</v>
      </c>
      <c r="C9" s="24" t="s">
        <v>40</v>
      </c>
      <c r="D9" s="24" t="s">
        <v>41</v>
      </c>
      <c r="E9" s="24" t="s">
        <v>143</v>
      </c>
    </row>
    <row r="10" spans="1:12" x14ac:dyDescent="0.15">
      <c r="A10" s="24" t="s">
        <v>329</v>
      </c>
      <c r="B10" s="26" t="s">
        <v>330</v>
      </c>
      <c r="C10" s="27">
        <f>RTD("em.rtq",,A10,"Time")</f>
        <v>0</v>
      </c>
      <c r="D10" s="26">
        <f>RTD("em.rtq",,A10,"Now")</f>
        <v>0</v>
      </c>
      <c r="E10" s="26">
        <f>RTD("em.rtq",,A10,"DifferRange")</f>
        <v>0</v>
      </c>
    </row>
    <row r="11" spans="1:12" x14ac:dyDescent="0.15">
      <c r="A11" s="24" t="s">
        <v>331</v>
      </c>
      <c r="B11" s="26" t="s">
        <v>332</v>
      </c>
      <c r="C11" s="27">
        <f>RTD("em.rtq",,A11,"Time")</f>
        <v>0</v>
      </c>
      <c r="D11" s="26">
        <f>RTD("em.rtq",,A11,"Now")</f>
        <v>0</v>
      </c>
      <c r="E11" s="26">
        <f>RTD("em.rtq",,A11,"DifferRange")</f>
        <v>0</v>
      </c>
    </row>
    <row r="13" spans="1:12" x14ac:dyDescent="0.15">
      <c r="A13" s="58" t="s">
        <v>252</v>
      </c>
    </row>
    <row r="16" spans="1:12" x14ac:dyDescent="0.15">
      <c r="A16" s="24" t="s">
        <v>5</v>
      </c>
      <c r="B16" s="24" t="s">
        <v>333</v>
      </c>
      <c r="C16" s="24" t="s">
        <v>334</v>
      </c>
      <c r="D16" s="24" t="s">
        <v>335</v>
      </c>
    </row>
    <row r="17" spans="1:4" x14ac:dyDescent="0.15">
      <c r="A17" s="24" t="s">
        <v>6</v>
      </c>
      <c r="B17" s="24" t="s">
        <v>336</v>
      </c>
      <c r="C17" s="24" t="s">
        <v>337</v>
      </c>
      <c r="D17" s="24" t="s">
        <v>338</v>
      </c>
    </row>
    <row r="18" spans="1:4" x14ac:dyDescent="0.15">
      <c r="A18" s="26" t="s">
        <v>40</v>
      </c>
      <c r="B18" s="27">
        <f>RTD("em.rtq",,B16,"Time")</f>
        <v>0</v>
      </c>
      <c r="C18" s="27">
        <f>RTD("em.rtq",,C16,"Time")</f>
        <v>0</v>
      </c>
      <c r="D18" s="27">
        <f>RTD("em.rtq",,D16,"Time")</f>
        <v>0</v>
      </c>
    </row>
    <row r="19" spans="1:4" x14ac:dyDescent="0.15">
      <c r="A19" s="26" t="s">
        <v>41</v>
      </c>
      <c r="B19" s="26">
        <f>RTD("em.rtq",,B16,"Now")</f>
        <v>0</v>
      </c>
      <c r="C19" s="26">
        <f>RTD("em.rtq",,C16,"Now")</f>
        <v>0</v>
      </c>
      <c r="D19" s="26">
        <f>RTD("em.rtq",,D16,"Now")</f>
        <v>0</v>
      </c>
    </row>
    <row r="20" spans="1:4" x14ac:dyDescent="0.15">
      <c r="A20" s="26" t="s">
        <v>143</v>
      </c>
      <c r="B20" s="26">
        <f>RTD("em.rtq",,B16,"DifferRange")</f>
        <v>0</v>
      </c>
      <c r="C20" s="26">
        <f>RTD("em.rtq",,C16,"DifferRange")</f>
        <v>0</v>
      </c>
      <c r="D20" s="26">
        <f>RTD("em.rtq",,D16,"DifferRange")</f>
        <v>0</v>
      </c>
    </row>
    <row r="23" spans="1:4" x14ac:dyDescent="0.15">
      <c r="A23" s="24" t="s">
        <v>5</v>
      </c>
      <c r="B23" s="24" t="s">
        <v>339</v>
      </c>
      <c r="C23" s="24" t="s">
        <v>340</v>
      </c>
    </row>
    <row r="24" spans="1:4" x14ac:dyDescent="0.15">
      <c r="A24" s="24" t="s">
        <v>6</v>
      </c>
      <c r="B24" s="24" t="s">
        <v>341</v>
      </c>
      <c r="C24" s="24" t="s">
        <v>342</v>
      </c>
    </row>
    <row r="25" spans="1:4" x14ac:dyDescent="0.15">
      <c r="A25" s="26" t="s">
        <v>40</v>
      </c>
      <c r="B25" s="27">
        <f>RTD("em.rtq",,B23,"Time")</f>
        <v>0</v>
      </c>
      <c r="C25" s="27">
        <f>RTD("em.rtq",,C23,"Time")</f>
        <v>0</v>
      </c>
    </row>
    <row r="26" spans="1:4" x14ac:dyDescent="0.15">
      <c r="A26" s="26" t="s">
        <v>41</v>
      </c>
      <c r="B26" s="26">
        <f>RTD("em.rtq",,B23,"Now")</f>
        <v>0</v>
      </c>
      <c r="C26" s="26">
        <f>RTD("em.rtq",,C23,"Now")</f>
        <v>0</v>
      </c>
    </row>
    <row r="27" spans="1:4" x14ac:dyDescent="0.15">
      <c r="A27" s="26" t="s">
        <v>143</v>
      </c>
      <c r="B27" s="26">
        <f>RTD("em.rtq",,B23,"DifferRange")</f>
        <v>0</v>
      </c>
      <c r="C27" s="26">
        <f>RTD("em.rtq",,C23,"DifferRange")</f>
        <v>0</v>
      </c>
    </row>
    <row r="30" spans="1:4" x14ac:dyDescent="0.15">
      <c r="A30" s="24" t="s">
        <v>5</v>
      </c>
      <c r="B30" s="24" t="s">
        <v>343</v>
      </c>
      <c r="C30" s="24" t="s">
        <v>344</v>
      </c>
    </row>
    <row r="31" spans="1:4" x14ac:dyDescent="0.15">
      <c r="A31" s="24" t="s">
        <v>6</v>
      </c>
      <c r="B31" s="24" t="s">
        <v>345</v>
      </c>
      <c r="C31" s="24" t="s">
        <v>346</v>
      </c>
    </row>
    <row r="32" spans="1:4" x14ac:dyDescent="0.15">
      <c r="A32" s="26" t="s">
        <v>40</v>
      </c>
      <c r="B32" s="27">
        <f>RTD("em.rtq",,B30,"Time")</f>
        <v>0</v>
      </c>
      <c r="C32" s="27">
        <f>RTD("em.rtq",,C30,"Time")</f>
        <v>0</v>
      </c>
    </row>
    <row r="33" spans="1:3" x14ac:dyDescent="0.15">
      <c r="A33" s="26" t="s">
        <v>41</v>
      </c>
      <c r="B33" s="26">
        <f>RTD("em.rtq",,B30,"Now")</f>
        <v>0</v>
      </c>
      <c r="C33" s="26">
        <f>RTD("em.rtq",,C30,"Now")</f>
        <v>0</v>
      </c>
    </row>
    <row r="34" spans="1:3" x14ac:dyDescent="0.15">
      <c r="A34" s="26" t="s">
        <v>143</v>
      </c>
      <c r="B34" s="26">
        <f>RTD("em.rtq",,B30,"DifferRange")</f>
        <v>0</v>
      </c>
      <c r="C34" s="26">
        <f>RTD("em.rtq",,C30,"DifferRange")</f>
        <v>0</v>
      </c>
    </row>
    <row r="36" spans="1:3" x14ac:dyDescent="0.15">
      <c r="A36" s="58" t="s">
        <v>252</v>
      </c>
    </row>
  </sheetData>
  <phoneticPr fontId="3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27"/>
  <sheetViews>
    <sheetView workbookViewId="0">
      <selection activeCell="K10" sqref="K10"/>
    </sheetView>
  </sheetViews>
  <sheetFormatPr defaultColWidth="9" defaultRowHeight="13.5" x14ac:dyDescent="0.15"/>
  <sheetData>
    <row r="1" spans="1:12" x14ac:dyDescent="0.15">
      <c r="A1" s="44"/>
      <c r="B1" s="45">
        <v>164906</v>
      </c>
      <c r="C1" s="45">
        <v>513050</v>
      </c>
      <c r="D1" s="45" t="s">
        <v>347</v>
      </c>
      <c r="E1" s="45" t="s">
        <v>348</v>
      </c>
      <c r="F1" s="45"/>
      <c r="G1" s="46" t="s">
        <v>349</v>
      </c>
      <c r="H1" s="46" t="s">
        <v>350</v>
      </c>
      <c r="I1" s="46" t="s">
        <v>351</v>
      </c>
    </row>
    <row r="2" spans="1:12" x14ac:dyDescent="0.15">
      <c r="A2" s="44" t="s">
        <v>352</v>
      </c>
      <c r="B2" s="44">
        <f>SUM(B9:B10)</f>
        <v>0</v>
      </c>
      <c r="C2" s="44">
        <f>SUM(C9:C10)</f>
        <v>2486952</v>
      </c>
      <c r="D2" s="44">
        <f>SUM(D9:D10)</f>
        <v>3493058</v>
      </c>
      <c r="E2" s="44">
        <f>SUM(E9:E10)</f>
        <v>5980010</v>
      </c>
      <c r="F2" s="47" t="s">
        <v>352</v>
      </c>
      <c r="G2" s="48">
        <f>D2/E2</f>
        <v>0.58412243457786861</v>
      </c>
      <c r="H2" s="48">
        <f>B2/E2</f>
        <v>0</v>
      </c>
      <c r="I2" s="48">
        <f>C2/E2</f>
        <v>0.41587756542213139</v>
      </c>
      <c r="K2" cm="1">
        <f t="array" ref="K2">get_T_germany_now_index()</f>
        <v>13251.3</v>
      </c>
      <c r="L2" cm="1">
        <f t="array" ref="L2">get_T_germany_ETF()</f>
        <v>1.125</v>
      </c>
    </row>
    <row r="3" spans="1:12" ht="14.25" x14ac:dyDescent="0.15">
      <c r="A3" s="44" t="s">
        <v>353</v>
      </c>
      <c r="B3" s="49">
        <v>0</v>
      </c>
      <c r="C3" s="49">
        <v>2733904</v>
      </c>
      <c r="D3" s="49">
        <v>3276453</v>
      </c>
      <c r="E3" s="44">
        <f>SUM(B3:D3)</f>
        <v>6010357</v>
      </c>
      <c r="F3" s="47" t="s">
        <v>353</v>
      </c>
      <c r="G3" s="48">
        <f t="shared" ref="G3:G6" si="0">D3/E3</f>
        <v>0.54513450698519239</v>
      </c>
      <c r="H3" s="48">
        <f t="shared" ref="H3:H6" si="1">B3/E3</f>
        <v>0</v>
      </c>
      <c r="I3" s="48">
        <f t="shared" ref="I3:I6" si="2">C3/E3</f>
        <v>0.45486549301480761</v>
      </c>
      <c r="K3" cm="1">
        <f t="array" ref="K3">get_T_na100_index()</f>
        <v>11378.12</v>
      </c>
      <c r="L3" t="e" cm="1">
        <f t="array" aca="1" ref="L3" ca="1">get_T_na161130_ETF()</f>
        <v>#NAME?</v>
      </c>
    </row>
    <row r="4" spans="1:12" ht="14.25" x14ac:dyDescent="0.15">
      <c r="A4" s="44" t="s">
        <v>354</v>
      </c>
      <c r="B4" s="49">
        <v>0</v>
      </c>
      <c r="C4" s="49">
        <v>620816</v>
      </c>
      <c r="D4" s="49">
        <v>88905</v>
      </c>
      <c r="E4" s="44">
        <f>SUM(B4:D4)</f>
        <v>709721</v>
      </c>
      <c r="F4" s="47" t="s">
        <v>354</v>
      </c>
      <c r="G4" s="48">
        <f t="shared" si="0"/>
        <v>0.12526753470730048</v>
      </c>
      <c r="H4" s="48">
        <f t="shared" si="1"/>
        <v>0</v>
      </c>
      <c r="I4" s="48">
        <f t="shared" si="2"/>
        <v>0.87473246529269955</v>
      </c>
      <c r="K4" cm="1">
        <f t="array" ref="K4">get_T_na100_index()</f>
        <v>11378.12</v>
      </c>
      <c r="L4" cm="1">
        <f t="array" ref="L4">get_T_na159941_ETF()</f>
        <v>2.75</v>
      </c>
    </row>
    <row r="5" spans="1:12" ht="14.25" x14ac:dyDescent="0.15">
      <c r="A5" s="44" t="s">
        <v>355</v>
      </c>
      <c r="B5" s="49">
        <v>0</v>
      </c>
      <c r="C5" s="49">
        <v>181884</v>
      </c>
      <c r="D5" s="49">
        <v>0</v>
      </c>
      <c r="E5" s="44">
        <f>SUM(B5:D5)</f>
        <v>181884</v>
      </c>
      <c r="F5" s="47" t="s">
        <v>355</v>
      </c>
      <c r="G5" s="48">
        <f t="shared" si="0"/>
        <v>0</v>
      </c>
      <c r="H5" s="48">
        <f t="shared" si="1"/>
        <v>0</v>
      </c>
      <c r="I5" s="48">
        <f t="shared" si="2"/>
        <v>1</v>
      </c>
      <c r="K5" cm="1">
        <f t="array" ref="K5">get_T_biaopu500_index()</f>
        <v>3393.75</v>
      </c>
      <c r="L5" cm="1">
        <f t="array" ref="L5">get_T_biaopu500_ETF()</f>
        <v>2.2010000000000001</v>
      </c>
    </row>
    <row r="6" spans="1:12" x14ac:dyDescent="0.15">
      <c r="A6" s="50" t="s">
        <v>221</v>
      </c>
      <c r="B6" s="50">
        <f>SUM(B2:B5)</f>
        <v>0</v>
      </c>
      <c r="C6" s="50">
        <f>SUM(C2:C5)</f>
        <v>6023556</v>
      </c>
      <c r="D6" s="50">
        <f>SUM(D2:D5)</f>
        <v>6858416</v>
      </c>
      <c r="E6" s="50">
        <f>SUM(E2:E5)</f>
        <v>12881972</v>
      </c>
      <c r="F6" s="51" t="s">
        <v>221</v>
      </c>
      <c r="G6" s="52">
        <f t="shared" si="0"/>
        <v>0.53240420022648705</v>
      </c>
      <c r="H6" s="52">
        <f t="shared" si="1"/>
        <v>0</v>
      </c>
      <c r="I6" s="52">
        <f t="shared" si="2"/>
        <v>0.46759579977351295</v>
      </c>
      <c r="K6" cm="1">
        <f t="array" ref="K6">get_T_CAC_index()</f>
        <v>5042.9799999999996</v>
      </c>
      <c r="L6" cm="1">
        <f t="array" ref="L6">get_T_CAC_ETF()</f>
        <v>1.042</v>
      </c>
    </row>
    <row r="7" spans="1:12" x14ac:dyDescent="0.15">
      <c r="L7" t="s">
        <v>472</v>
      </c>
    </row>
    <row r="9" spans="1:12" ht="14.25" x14ac:dyDescent="0.15">
      <c r="A9" s="38" t="s">
        <v>356</v>
      </c>
      <c r="B9" s="53">
        <v>0</v>
      </c>
      <c r="C9" s="53">
        <v>537744</v>
      </c>
      <c r="D9" s="53">
        <v>1984662</v>
      </c>
      <c r="E9">
        <f>B9+C9+D9</f>
        <v>2522406</v>
      </c>
      <c r="G9" s="54">
        <f>D9/E9</f>
        <v>0.78681306657215377</v>
      </c>
      <c r="H9" s="54">
        <f>B9/E9</f>
        <v>0</v>
      </c>
      <c r="I9" s="54">
        <f>C9/E9</f>
        <v>0.21318693342784628</v>
      </c>
    </row>
    <row r="10" spans="1:12" ht="14.25" x14ac:dyDescent="0.15">
      <c r="A10" s="38" t="s">
        <v>357</v>
      </c>
      <c r="B10" s="53">
        <v>0</v>
      </c>
      <c r="C10" s="53">
        <v>1949208</v>
      </c>
      <c r="D10" s="53">
        <v>1508396</v>
      </c>
      <c r="E10">
        <f>B10+C10+D10</f>
        <v>3457604</v>
      </c>
      <c r="G10" s="54">
        <f>D10/E10</f>
        <v>0.43625470123241411</v>
      </c>
      <c r="H10" s="54">
        <f>B10/E10</f>
        <v>0</v>
      </c>
      <c r="I10" s="54">
        <f>C10/E10</f>
        <v>0.56374529876758583</v>
      </c>
    </row>
    <row r="19" spans="1:9" x14ac:dyDescent="0.15">
      <c r="A19" s="44"/>
      <c r="B19" s="45">
        <v>501050</v>
      </c>
      <c r="C19" s="45">
        <v>159920</v>
      </c>
      <c r="D19" s="45">
        <v>510900</v>
      </c>
      <c r="E19" s="45" t="s">
        <v>348</v>
      </c>
      <c r="F19" s="55" t="s">
        <v>358</v>
      </c>
      <c r="G19" s="56">
        <v>501050</v>
      </c>
      <c r="H19" s="56">
        <v>159920</v>
      </c>
      <c r="I19" s="56">
        <v>510900</v>
      </c>
    </row>
    <row r="20" spans="1:9" x14ac:dyDescent="0.15">
      <c r="A20" s="44" t="s">
        <v>352</v>
      </c>
      <c r="B20" s="44">
        <f>SUM(B26:B27)</f>
        <v>487174</v>
      </c>
      <c r="C20" s="44">
        <f>SUM(C26:C27)</f>
        <v>885982</v>
      </c>
      <c r="D20" s="44">
        <f>SUM(D26:D27)</f>
        <v>56350</v>
      </c>
      <c r="E20" s="44">
        <f>SUM(E26:E27)</f>
        <v>1429506</v>
      </c>
      <c r="F20" s="47" t="s">
        <v>352</v>
      </c>
      <c r="G20" s="48">
        <f t="shared" ref="G20:G23" si="3">B20/E20</f>
        <v>0.34079884939272725</v>
      </c>
      <c r="H20" s="48">
        <f t="shared" ref="H20:H23" si="4">C20/E20</f>
        <v>0.61978193865573139</v>
      </c>
      <c r="I20" s="48">
        <f t="shared" ref="I20:I23" si="5">D20/E20</f>
        <v>3.94192119515413E-2</v>
      </c>
    </row>
    <row r="21" spans="1:9" ht="14.25" x14ac:dyDescent="0.15">
      <c r="A21" s="44" t="s">
        <v>353</v>
      </c>
      <c r="B21" s="49">
        <v>628386</v>
      </c>
      <c r="C21" s="49">
        <v>4841546</v>
      </c>
      <c r="D21" s="49">
        <v>340884</v>
      </c>
      <c r="E21" s="44">
        <f>SUM(B21:D21)</f>
        <v>5810816</v>
      </c>
      <c r="F21" s="47" t="s">
        <v>353</v>
      </c>
      <c r="G21" s="48">
        <f t="shared" si="3"/>
        <v>0.10814074993942331</v>
      </c>
      <c r="H21" s="48">
        <f t="shared" si="4"/>
        <v>0.83319554430909526</v>
      </c>
      <c r="I21" s="48">
        <f t="shared" si="5"/>
        <v>5.8663705751481374E-2</v>
      </c>
    </row>
    <row r="22" spans="1:9" x14ac:dyDescent="0.15">
      <c r="A22" s="44" t="s">
        <v>354</v>
      </c>
      <c r="B22" s="44">
        <v>0</v>
      </c>
      <c r="C22" s="44">
        <v>68850</v>
      </c>
      <c r="D22" s="44">
        <v>0</v>
      </c>
      <c r="E22" s="44">
        <f>SUM(B22:D22)+1</f>
        <v>68851</v>
      </c>
      <c r="F22" s="47" t="s">
        <v>354</v>
      </c>
      <c r="G22" s="48">
        <f t="shared" si="3"/>
        <v>0</v>
      </c>
      <c r="H22" s="48">
        <f t="shared" si="4"/>
        <v>0.99998547588270326</v>
      </c>
      <c r="I22" s="48">
        <f t="shared" si="5"/>
        <v>0</v>
      </c>
    </row>
    <row r="23" spans="1:9" x14ac:dyDescent="0.15">
      <c r="A23" s="50" t="s">
        <v>221</v>
      </c>
      <c r="B23" s="50">
        <f>SUM(B20:B22)</f>
        <v>1115560</v>
      </c>
      <c r="C23" s="50">
        <f>SUM(C20:C22)</f>
        <v>5796378</v>
      </c>
      <c r="D23" s="50">
        <f>SUM(D20:D22)</f>
        <v>397234</v>
      </c>
      <c r="E23" s="50">
        <f>SUM(E20:E22)</f>
        <v>7309173</v>
      </c>
      <c r="F23" s="51" t="s">
        <v>221</v>
      </c>
      <c r="G23" s="57">
        <f t="shared" si="3"/>
        <v>0.1526246539793216</v>
      </c>
      <c r="H23" s="57">
        <f t="shared" si="4"/>
        <v>0.79302788427637438</v>
      </c>
      <c r="I23" s="57">
        <f t="shared" si="5"/>
        <v>5.4347324929920254E-2</v>
      </c>
    </row>
    <row r="26" spans="1:9" ht="14.25" x14ac:dyDescent="0.15">
      <c r="A26" s="38" t="s">
        <v>356</v>
      </c>
      <c r="B26" s="53">
        <v>0</v>
      </c>
      <c r="C26" s="53">
        <v>717703</v>
      </c>
      <c r="D26" s="53">
        <v>0</v>
      </c>
      <c r="E26">
        <f>B26+C26+D26</f>
        <v>717703</v>
      </c>
      <c r="G26" s="48">
        <f>B26/E26</f>
        <v>0</v>
      </c>
      <c r="H26" s="48">
        <f>C26/E26</f>
        <v>1</v>
      </c>
      <c r="I26" s="48">
        <f>D26/E26</f>
        <v>0</v>
      </c>
    </row>
    <row r="27" spans="1:9" ht="14.25" x14ac:dyDescent="0.15">
      <c r="A27" s="38" t="s">
        <v>357</v>
      </c>
      <c r="B27" s="53">
        <v>487174</v>
      </c>
      <c r="C27" s="53">
        <v>168279</v>
      </c>
      <c r="D27" s="53">
        <v>56350</v>
      </c>
      <c r="E27">
        <f>B27+C27+D27</f>
        <v>711803</v>
      </c>
      <c r="G27" s="48">
        <f>B27/E27</f>
        <v>0.68442251578034929</v>
      </c>
      <c r="H27" s="48">
        <f>C27/E27</f>
        <v>0.23641232194862905</v>
      </c>
      <c r="I27" s="48">
        <f>D27/E27</f>
        <v>7.9165162271021619E-2</v>
      </c>
    </row>
  </sheetData>
  <phoneticPr fontId="30" type="noConversion"/>
  <conditionalFormatting sqref="G6:I6">
    <cfRule type="colorScale" priority="11">
      <colorScale>
        <cfvo type="min"/>
        <cfvo type="max"/>
        <color rgb="FFFCFCFF"/>
        <color rgb="FF63BE7B"/>
      </colorScale>
    </cfRule>
  </conditionalFormatting>
  <conditionalFormatting sqref="G23:I23">
    <cfRule type="colorScale" priority="6">
      <colorScale>
        <cfvo type="min"/>
        <cfvo type="max"/>
        <color rgb="FFFCFCFF"/>
        <color rgb="FF63BE7B"/>
      </colorScale>
    </cfRule>
  </conditionalFormatting>
  <conditionalFormatting sqref="G2:G5">
    <cfRule type="colorScale" priority="14">
      <colorScale>
        <cfvo type="min"/>
        <cfvo type="max"/>
        <color rgb="FFFCFCFF"/>
        <color rgb="FF63BE7B"/>
      </colorScale>
    </cfRule>
  </conditionalFormatting>
  <conditionalFormatting sqref="G20:G23">
    <cfRule type="colorScale" priority="7">
      <colorScale>
        <cfvo type="min"/>
        <cfvo type="max"/>
        <color rgb="FFFCFCFF"/>
        <color rgb="FF63BE7B"/>
      </colorScale>
    </cfRule>
  </conditionalFormatting>
  <conditionalFormatting sqref="G26:G27">
    <cfRule type="colorScale" priority="2">
      <colorScale>
        <cfvo type="min"/>
        <cfvo type="max"/>
        <color rgb="FFFCFCFF"/>
        <color rgb="FF63BE7B"/>
      </colorScale>
    </cfRule>
  </conditionalFormatting>
  <conditionalFormatting sqref="H2:H5">
    <cfRule type="colorScale" priority="13">
      <colorScale>
        <cfvo type="min"/>
        <cfvo type="max"/>
        <color rgb="FFFCFCFF"/>
        <color rgb="FF63BE7B"/>
      </colorScale>
    </cfRule>
  </conditionalFormatting>
  <conditionalFormatting sqref="H20:H23">
    <cfRule type="colorScale" priority="8">
      <colorScale>
        <cfvo type="min"/>
        <cfvo type="max"/>
        <color rgb="FFFCFCFF"/>
        <color rgb="FF63BE7B"/>
      </colorScale>
    </cfRule>
  </conditionalFormatting>
  <conditionalFormatting sqref="H26:H27">
    <cfRule type="colorScale" priority="3">
      <colorScale>
        <cfvo type="min"/>
        <cfvo type="max"/>
        <color rgb="FFFCFCFF"/>
        <color rgb="FF63BE7B"/>
      </colorScale>
    </cfRule>
  </conditionalFormatting>
  <conditionalFormatting sqref="I2:I5">
    <cfRule type="colorScale" priority="12">
      <colorScale>
        <cfvo type="min"/>
        <cfvo type="max"/>
        <color rgb="FF63BE7B"/>
        <color rgb="FFFCFCFF"/>
      </colorScale>
    </cfRule>
  </conditionalFormatting>
  <conditionalFormatting sqref="I20:I23">
    <cfRule type="colorScale" priority="9">
      <colorScale>
        <cfvo type="min"/>
        <cfvo type="max"/>
        <color rgb="FF63BE7B"/>
        <color rgb="FFFCFCFF"/>
      </colorScale>
    </cfRule>
  </conditionalFormatting>
  <conditionalFormatting sqref="I26:I27">
    <cfRule type="colorScale" priority="4">
      <colorScale>
        <cfvo type="min"/>
        <cfvo type="max"/>
        <color rgb="FF63BE7B"/>
        <color rgb="FFFCFCFF"/>
      </colorScale>
    </cfRule>
  </conditionalFormatting>
  <conditionalFormatting sqref="G2:I6">
    <cfRule type="colorScale" priority="10">
      <colorScale>
        <cfvo type="min"/>
        <cfvo type="max"/>
        <color rgb="FFFCFCFF"/>
        <color rgb="FF63BE7B"/>
      </colorScale>
    </cfRule>
  </conditionalFormatting>
  <conditionalFormatting sqref="G20:I23">
    <cfRule type="colorScale" priority="5">
      <colorScale>
        <cfvo type="min"/>
        <cfvo type="max"/>
        <color rgb="FFFCFCFF"/>
        <color rgb="FF63BE7B"/>
      </colorScale>
    </cfRule>
  </conditionalFormatting>
  <conditionalFormatting sqref="G26:I27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S70"/>
  <sheetViews>
    <sheetView workbookViewId="0">
      <selection activeCell="K10" sqref="K10"/>
    </sheetView>
  </sheetViews>
  <sheetFormatPr defaultColWidth="9" defaultRowHeight="13.5" x14ac:dyDescent="0.15"/>
  <cols>
    <col min="6" max="6" width="12.875" style="23" customWidth="1"/>
    <col min="11" max="11" width="9.125"/>
    <col min="12" max="12" width="13.5" customWidth="1"/>
    <col min="13" max="13" width="12.25" customWidth="1"/>
    <col min="14" max="14" width="11.25" customWidth="1"/>
    <col min="15" max="15" width="11.125" customWidth="1"/>
    <col min="16" max="16" width="11.75" customWidth="1"/>
    <col min="17" max="17" width="10.75" customWidth="1"/>
    <col min="18" max="19" width="9.125"/>
  </cols>
  <sheetData>
    <row r="1" spans="1:18" x14ac:dyDescent="0.15">
      <c r="A1" s="24" t="s">
        <v>5</v>
      </c>
      <c r="B1" s="24" t="s">
        <v>6</v>
      </c>
      <c r="C1" s="24" t="s">
        <v>40</v>
      </c>
      <c r="D1" s="24" t="s">
        <v>41</v>
      </c>
      <c r="E1" s="24" t="s">
        <v>143</v>
      </c>
      <c r="F1" s="25" t="s">
        <v>42</v>
      </c>
      <c r="G1" s="24" t="s">
        <v>359</v>
      </c>
      <c r="H1" s="24" t="s">
        <v>360</v>
      </c>
      <c r="J1" s="24" t="s">
        <v>5</v>
      </c>
      <c r="K1" s="24" t="s">
        <v>361</v>
      </c>
      <c r="L1" s="24" t="s">
        <v>362</v>
      </c>
      <c r="M1" s="24" t="s">
        <v>344</v>
      </c>
      <c r="N1" s="24" t="s">
        <v>363</v>
      </c>
      <c r="O1" s="24" t="s">
        <v>364</v>
      </c>
      <c r="P1" s="24" t="s">
        <v>365</v>
      </c>
      <c r="Q1" s="24" t="s">
        <v>366</v>
      </c>
    </row>
    <row r="2" spans="1:18" x14ac:dyDescent="0.15">
      <c r="A2" s="24" t="s">
        <v>9</v>
      </c>
      <c r="B2" s="26" t="s">
        <v>10</v>
      </c>
      <c r="C2" s="27">
        <f t="shared" ref="C2:C28" si="0">RTD("em.rtq",,A2,"Time")</f>
        <v>0</v>
      </c>
      <c r="D2" s="26">
        <f t="shared" ref="D2:D28" si="1">RTD("em.rtq",,A2,"Now")</f>
        <v>0</v>
      </c>
      <c r="E2" s="26">
        <f t="shared" ref="E2:E28" si="2">RTD("em.rtq",,A2,"DifferRange")</f>
        <v>0</v>
      </c>
      <c r="F2" s="28">
        <f t="shared" ref="F2:F28" si="3">RTD("em.rtq",,A2,"Amount")</f>
        <v>0</v>
      </c>
      <c r="G2" s="26">
        <f t="shared" ref="G2:G28" si="4">RTD("em.rtq",,A2,"IOPV")</f>
        <v>0</v>
      </c>
      <c r="H2" s="26">
        <f t="shared" ref="H2:H28" si="5">RTD("em.rtq",,A2,"OverflowRate")</f>
        <v>0</v>
      </c>
      <c r="J2" s="24" t="s">
        <v>6</v>
      </c>
      <c r="K2" s="24" cm="1">
        <f t="array" ref="K2">get_T_germany_now_index()</f>
        <v>13251.5</v>
      </c>
      <c r="L2" s="24" cm="1">
        <f t="array" ref="L2">get_T_germany_ETF()</f>
        <v>1.125</v>
      </c>
      <c r="M2" s="24" t="s">
        <v>346</v>
      </c>
      <c r="N2" s="24" t="s">
        <v>367</v>
      </c>
      <c r="O2" s="24" t="s">
        <v>368</v>
      </c>
      <c r="P2" s="24" t="s">
        <v>369</v>
      </c>
      <c r="Q2" s="24" t="s">
        <v>370</v>
      </c>
    </row>
    <row r="3" spans="1:18" x14ac:dyDescent="0.15">
      <c r="A3" s="24" t="s">
        <v>11</v>
      </c>
      <c r="B3" s="26" t="s">
        <v>12</v>
      </c>
      <c r="C3" s="27">
        <f t="shared" si="0"/>
        <v>0</v>
      </c>
      <c r="D3" s="26">
        <f t="shared" si="1"/>
        <v>0</v>
      </c>
      <c r="E3" s="26">
        <f t="shared" si="2"/>
        <v>0</v>
      </c>
      <c r="F3" s="28">
        <f t="shared" si="3"/>
        <v>0</v>
      </c>
      <c r="G3" s="26">
        <f t="shared" si="4"/>
        <v>0</v>
      </c>
      <c r="H3" s="26">
        <f t="shared" si="5"/>
        <v>0</v>
      </c>
      <c r="J3" s="26" t="s">
        <v>40</v>
      </c>
      <c r="K3" s="27" cm="1">
        <f t="array" ref="K3">get_T_na100_index()</f>
        <v>11379</v>
      </c>
      <c r="L3" s="27" t="e" cm="1">
        <f t="array" aca="1" ref="L3" ca="1">get_T_na161130_ETF()</f>
        <v>#NAME?</v>
      </c>
      <c r="M3" s="27">
        <f t="shared" ref="K3:Q3" si="6">RTD("em.rtq",,M1,"Time")</f>
        <v>0</v>
      </c>
      <c r="N3" s="27">
        <f t="shared" si="6"/>
        <v>0</v>
      </c>
      <c r="O3" s="27">
        <f t="shared" si="6"/>
        <v>0</v>
      </c>
      <c r="P3" s="27">
        <f t="shared" si="6"/>
        <v>0</v>
      </c>
      <c r="Q3" s="27">
        <f t="shared" si="6"/>
        <v>0</v>
      </c>
    </row>
    <row r="4" spans="1:18" x14ac:dyDescent="0.15">
      <c r="A4" s="24" t="s">
        <v>13</v>
      </c>
      <c r="B4" s="26" t="s">
        <v>10</v>
      </c>
      <c r="C4" s="27">
        <f t="shared" si="0"/>
        <v>0</v>
      </c>
      <c r="D4" s="26">
        <f t="shared" si="1"/>
        <v>0</v>
      </c>
      <c r="E4" s="26">
        <f t="shared" si="2"/>
        <v>0</v>
      </c>
      <c r="F4" s="28">
        <f t="shared" si="3"/>
        <v>0</v>
      </c>
      <c r="G4" s="26">
        <f t="shared" si="4"/>
        <v>0</v>
      </c>
      <c r="H4" s="26">
        <f t="shared" si="5"/>
        <v>0</v>
      </c>
      <c r="J4" s="26" t="s">
        <v>41</v>
      </c>
      <c r="K4" s="26" cm="1">
        <f t="array" ref="K4">get_T_na100_index()</f>
        <v>11379</v>
      </c>
      <c r="L4" s="26" cm="1">
        <f t="array" ref="L4">get_T_na159941_ETF()</f>
        <v>2.75</v>
      </c>
      <c r="M4" s="26">
        <f t="shared" ref="K4:Q4" si="7">RTD("em.rtq",,M1,"Now")</f>
        <v>0</v>
      </c>
      <c r="N4" s="26">
        <f t="shared" si="7"/>
        <v>0</v>
      </c>
      <c r="O4" s="26">
        <f t="shared" si="7"/>
        <v>0</v>
      </c>
      <c r="P4" s="26">
        <f t="shared" si="7"/>
        <v>0</v>
      </c>
      <c r="Q4" s="26">
        <f t="shared" si="7"/>
        <v>0</v>
      </c>
    </row>
    <row r="5" spans="1:18" x14ac:dyDescent="0.15">
      <c r="A5" s="24" t="s">
        <v>14</v>
      </c>
      <c r="B5" s="26" t="s">
        <v>15</v>
      </c>
      <c r="C5" s="27">
        <f t="shared" si="0"/>
        <v>0</v>
      </c>
      <c r="D5" s="26">
        <f t="shared" si="1"/>
        <v>0</v>
      </c>
      <c r="E5" s="26">
        <f t="shared" si="2"/>
        <v>0</v>
      </c>
      <c r="F5" s="28">
        <f t="shared" si="3"/>
        <v>0</v>
      </c>
      <c r="G5" s="26">
        <f t="shared" si="4"/>
        <v>0</v>
      </c>
      <c r="H5" s="26">
        <f t="shared" si="5"/>
        <v>0</v>
      </c>
      <c r="J5" s="26" t="s">
        <v>143</v>
      </c>
      <c r="K5" s="26" cm="1">
        <f t="array" ref="K5">get_T_biaopu500_index()</f>
        <v>3394.12</v>
      </c>
      <c r="L5" s="26" cm="1">
        <f t="array" ref="L5">get_T_biaopu500_ETF()</f>
        <v>2.2010000000000001</v>
      </c>
      <c r="M5" s="26">
        <f t="shared" ref="K5:Q5" si="8">RTD("em.rtq",,M1,"DifferRange")</f>
        <v>0</v>
      </c>
      <c r="N5" s="26">
        <f t="shared" si="8"/>
        <v>0</v>
      </c>
      <c r="O5" s="26">
        <f t="shared" si="8"/>
        <v>0</v>
      </c>
      <c r="P5" s="26">
        <f t="shared" si="8"/>
        <v>0</v>
      </c>
      <c r="Q5" s="26">
        <f t="shared" si="8"/>
        <v>0</v>
      </c>
    </row>
    <row r="6" spans="1:18" x14ac:dyDescent="0.15">
      <c r="A6" s="24" t="s">
        <v>16</v>
      </c>
      <c r="B6" s="26" t="s">
        <v>17</v>
      </c>
      <c r="C6" s="27">
        <f t="shared" si="0"/>
        <v>0</v>
      </c>
      <c r="D6" s="26">
        <f t="shared" si="1"/>
        <v>0</v>
      </c>
      <c r="E6" s="26">
        <f t="shared" si="2"/>
        <v>0</v>
      </c>
      <c r="F6" s="28">
        <f t="shared" si="3"/>
        <v>0</v>
      </c>
      <c r="G6" s="26">
        <f t="shared" si="4"/>
        <v>0</v>
      </c>
      <c r="H6" s="26">
        <f t="shared" si="5"/>
        <v>0</v>
      </c>
      <c r="K6" cm="1">
        <f t="array" ref="K6">get_T_CAC_index()</f>
        <v>5042.9799999999996</v>
      </c>
      <c r="L6" cm="1">
        <f t="array" ref="L6">get_T_CAC_ETF()</f>
        <v>1.042</v>
      </c>
    </row>
    <row r="7" spans="1:18" x14ac:dyDescent="0.15">
      <c r="A7" s="24" t="s">
        <v>18</v>
      </c>
      <c r="B7" s="26" t="s">
        <v>19</v>
      </c>
      <c r="C7" s="27">
        <f t="shared" si="0"/>
        <v>0</v>
      </c>
      <c r="D7" s="26">
        <f t="shared" si="1"/>
        <v>0</v>
      </c>
      <c r="E7" s="26">
        <f t="shared" si="2"/>
        <v>0</v>
      </c>
      <c r="F7" s="28">
        <f t="shared" si="3"/>
        <v>0</v>
      </c>
      <c r="G7" s="26">
        <f t="shared" si="4"/>
        <v>0</v>
      </c>
      <c r="H7" s="26">
        <f t="shared" si="5"/>
        <v>0</v>
      </c>
      <c r="J7" s="24" t="s">
        <v>5</v>
      </c>
      <c r="K7" s="24" cm="1">
        <f t="array" ref="K7">get_T_japan_now_index()</f>
        <v>1602.75</v>
      </c>
      <c r="L7" s="24" t="s">
        <v>471</v>
      </c>
      <c r="M7" s="24" t="s">
        <v>371</v>
      </c>
      <c r="N7" s="24" t="s">
        <v>372</v>
      </c>
      <c r="O7" s="24" t="s">
        <v>373</v>
      </c>
      <c r="P7" s="24" t="s">
        <v>374</v>
      </c>
      <c r="R7" t="str">
        <f>[1]!EM_HQ("USDCNY.EX","PCTCHANGE","1d","N","Period=1,AdjustFlag=1,Type=1,Layout1=0,Layout2=0,Order=0,DateType=0,Market=CNSESH,ClearArea=NULL")</f>
        <v>历史行情</v>
      </c>
    </row>
    <row r="8" spans="1:18" x14ac:dyDescent="0.15">
      <c r="A8" s="24" t="s">
        <v>20</v>
      </c>
      <c r="B8" s="26" t="s">
        <v>17</v>
      </c>
      <c r="C8" s="27">
        <f t="shared" si="0"/>
        <v>0</v>
      </c>
      <c r="D8" s="26">
        <f t="shared" si="1"/>
        <v>0</v>
      </c>
      <c r="E8" s="26">
        <f t="shared" si="2"/>
        <v>0</v>
      </c>
      <c r="F8" s="28">
        <f t="shared" si="3"/>
        <v>0</v>
      </c>
      <c r="G8" s="26">
        <f t="shared" si="4"/>
        <v>0</v>
      </c>
      <c r="H8" s="26">
        <f t="shared" si="5"/>
        <v>0</v>
      </c>
      <c r="J8" s="24" t="s">
        <v>6</v>
      </c>
      <c r="K8" s="24" cm="1">
        <f t="array" ref="K8">get_T_japan_now_index()</f>
        <v>1602.75</v>
      </c>
      <c r="L8" s="24" cm="1">
        <f t="array" ref="L8">get_T_japan513520_ETF()</f>
        <v>1.0900000000000001</v>
      </c>
      <c r="M8" s="24" t="s">
        <v>375</v>
      </c>
      <c r="N8" s="24" t="s">
        <v>376</v>
      </c>
      <c r="O8" s="24" t="s">
        <v>377</v>
      </c>
      <c r="P8" s="24" t="s">
        <v>378</v>
      </c>
    </row>
    <row r="9" spans="1:18" x14ac:dyDescent="0.15">
      <c r="A9" s="24" t="s">
        <v>21</v>
      </c>
      <c r="B9" s="26" t="s">
        <v>22</v>
      </c>
      <c r="C9" s="27">
        <f t="shared" si="0"/>
        <v>0</v>
      </c>
      <c r="D9" s="26">
        <f t="shared" si="1"/>
        <v>0</v>
      </c>
      <c r="E9" s="26">
        <f t="shared" si="2"/>
        <v>0</v>
      </c>
      <c r="F9" s="28">
        <f t="shared" si="3"/>
        <v>0</v>
      </c>
      <c r="G9" s="26">
        <f t="shared" si="4"/>
        <v>0</v>
      </c>
      <c r="H9" s="26">
        <f t="shared" si="5"/>
        <v>0</v>
      </c>
      <c r="J9" s="26" t="s">
        <v>40</v>
      </c>
      <c r="K9" s="27" cm="1">
        <f t="array" ref="K9">get_T_japan_now_index()</f>
        <v>1603.25</v>
      </c>
      <c r="L9" s="27" cm="1">
        <f t="array" ref="L9">get_T_japan513880_ETF()</f>
        <v>1.0640000000000001</v>
      </c>
      <c r="M9" s="27">
        <f t="shared" ref="K9:P9" si="9">RTD("em.rtq",,M7,"Time")</f>
        <v>0</v>
      </c>
      <c r="N9" s="27">
        <f t="shared" si="9"/>
        <v>0</v>
      </c>
      <c r="O9" s="27">
        <f t="shared" si="9"/>
        <v>0</v>
      </c>
      <c r="P9" s="27">
        <f t="shared" si="9"/>
        <v>0</v>
      </c>
    </row>
    <row r="10" spans="1:18" x14ac:dyDescent="0.15">
      <c r="A10" s="24" t="s">
        <v>30</v>
      </c>
      <c r="B10" s="26" t="s">
        <v>31</v>
      </c>
      <c r="C10" s="27">
        <f t="shared" si="0"/>
        <v>0</v>
      </c>
      <c r="D10" s="26">
        <f t="shared" si="1"/>
        <v>0</v>
      </c>
      <c r="E10" s="26">
        <f t="shared" si="2"/>
        <v>0</v>
      </c>
      <c r="F10" s="28">
        <f t="shared" si="3"/>
        <v>0</v>
      </c>
      <c r="G10" s="26">
        <f t="shared" si="4"/>
        <v>0</v>
      </c>
      <c r="H10" s="26">
        <f t="shared" si="5"/>
        <v>0</v>
      </c>
      <c r="J10" s="26" t="s">
        <v>41</v>
      </c>
      <c r="K10" s="26">
        <f t="shared" ref="K10:P10" si="10">RTD("em.rtq",,K7,"Now")</f>
        <v>0</v>
      </c>
      <c r="L10" s="26">
        <f t="shared" si="10"/>
        <v>0</v>
      </c>
      <c r="M10" s="26">
        <f t="shared" si="10"/>
        <v>0</v>
      </c>
      <c r="N10" s="26">
        <f t="shared" si="10"/>
        <v>0</v>
      </c>
      <c r="O10" s="26">
        <f t="shared" si="10"/>
        <v>0</v>
      </c>
      <c r="P10" s="26">
        <f t="shared" si="10"/>
        <v>0</v>
      </c>
    </row>
    <row r="11" spans="1:18" x14ac:dyDescent="0.15">
      <c r="A11" s="24" t="s">
        <v>32</v>
      </c>
      <c r="B11" s="26" t="s">
        <v>33</v>
      </c>
      <c r="C11" s="27">
        <f t="shared" si="0"/>
        <v>0</v>
      </c>
      <c r="D11" s="26">
        <f t="shared" si="1"/>
        <v>0</v>
      </c>
      <c r="E11" s="26">
        <f t="shared" si="2"/>
        <v>0</v>
      </c>
      <c r="F11" s="28">
        <f t="shared" si="3"/>
        <v>0</v>
      </c>
      <c r="G11" s="26">
        <f t="shared" si="4"/>
        <v>0</v>
      </c>
      <c r="H11" s="26">
        <f t="shared" si="5"/>
        <v>0</v>
      </c>
      <c r="J11" s="26" t="s">
        <v>143</v>
      </c>
      <c r="K11" s="26">
        <f t="shared" ref="K11:P11" si="11">RTD("em.rtq",,K7,"DifferRange")</f>
        <v>0</v>
      </c>
      <c r="L11" s="26">
        <f t="shared" si="11"/>
        <v>0</v>
      </c>
      <c r="M11" s="26">
        <f t="shared" si="11"/>
        <v>0</v>
      </c>
      <c r="N11" s="26">
        <f t="shared" si="11"/>
        <v>0</v>
      </c>
      <c r="O11" s="26">
        <f t="shared" si="11"/>
        <v>0</v>
      </c>
      <c r="P11" s="26">
        <f t="shared" si="11"/>
        <v>0</v>
      </c>
    </row>
    <row r="12" spans="1:18" x14ac:dyDescent="0.15">
      <c r="A12" s="24" t="s">
        <v>34</v>
      </c>
      <c r="B12" s="26" t="s">
        <v>22</v>
      </c>
      <c r="C12" s="27">
        <f t="shared" si="0"/>
        <v>0</v>
      </c>
      <c r="D12" s="26">
        <f t="shared" si="1"/>
        <v>0</v>
      </c>
      <c r="E12" s="26">
        <f t="shared" si="2"/>
        <v>0</v>
      </c>
      <c r="F12" s="28">
        <f t="shared" si="3"/>
        <v>0</v>
      </c>
      <c r="G12" s="26">
        <f t="shared" si="4"/>
        <v>0</v>
      </c>
      <c r="H12" s="26">
        <f t="shared" si="5"/>
        <v>0</v>
      </c>
    </row>
    <row r="13" spans="1:18" x14ac:dyDescent="0.15">
      <c r="A13" s="24" t="s">
        <v>36</v>
      </c>
      <c r="B13" s="26" t="s">
        <v>37</v>
      </c>
      <c r="C13" s="27">
        <f t="shared" si="0"/>
        <v>0</v>
      </c>
      <c r="D13" s="26">
        <f t="shared" si="1"/>
        <v>0</v>
      </c>
      <c r="E13" s="26">
        <f t="shared" si="2"/>
        <v>0</v>
      </c>
      <c r="F13" s="28">
        <f t="shared" si="3"/>
        <v>0</v>
      </c>
      <c r="G13" s="26">
        <f t="shared" si="4"/>
        <v>0</v>
      </c>
      <c r="H13" s="26">
        <f t="shared" si="5"/>
        <v>0</v>
      </c>
      <c r="J13" s="24" t="s">
        <v>5</v>
      </c>
      <c r="K13" s="24" t="s">
        <v>379</v>
      </c>
      <c r="L13" s="24" t="s">
        <v>380</v>
      </c>
      <c r="M13" s="24" t="s">
        <v>381</v>
      </c>
      <c r="N13" s="24" t="s">
        <v>382</v>
      </c>
      <c r="O13" s="24" t="s">
        <v>383</v>
      </c>
      <c r="P13" s="24" t="s">
        <v>384</v>
      </c>
    </row>
    <row r="14" spans="1:18" x14ac:dyDescent="0.15">
      <c r="A14" s="24" t="s">
        <v>38</v>
      </c>
      <c r="B14" s="26" t="s">
        <v>39</v>
      </c>
      <c r="C14" s="27">
        <f t="shared" si="0"/>
        <v>0</v>
      </c>
      <c r="D14" s="26">
        <f t="shared" si="1"/>
        <v>0</v>
      </c>
      <c r="E14" s="26">
        <f t="shared" si="2"/>
        <v>0</v>
      </c>
      <c r="F14" s="28">
        <f t="shared" si="3"/>
        <v>0</v>
      </c>
      <c r="G14" s="26">
        <f t="shared" si="4"/>
        <v>0</v>
      </c>
      <c r="H14" s="26">
        <f t="shared" si="5"/>
        <v>0</v>
      </c>
      <c r="J14" s="24" t="s">
        <v>6</v>
      </c>
      <c r="K14" s="24" t="s">
        <v>385</v>
      </c>
      <c r="L14" s="24" t="s">
        <v>386</v>
      </c>
      <c r="M14" s="24" t="s">
        <v>387</v>
      </c>
      <c r="N14" s="24" t="s">
        <v>388</v>
      </c>
      <c r="O14" s="24" t="s">
        <v>389</v>
      </c>
      <c r="P14" s="24" t="s">
        <v>390</v>
      </c>
    </row>
    <row r="15" spans="1:18" x14ac:dyDescent="0.15">
      <c r="A15" s="24" t="s">
        <v>47</v>
      </c>
      <c r="B15" s="26" t="s">
        <v>48</v>
      </c>
      <c r="C15" s="27">
        <f t="shared" si="0"/>
        <v>0</v>
      </c>
      <c r="D15" s="26">
        <f t="shared" si="1"/>
        <v>0</v>
      </c>
      <c r="E15" s="26">
        <f t="shared" si="2"/>
        <v>0</v>
      </c>
      <c r="F15" s="28">
        <f t="shared" si="3"/>
        <v>0</v>
      </c>
      <c r="G15" s="26">
        <f t="shared" si="4"/>
        <v>0</v>
      </c>
      <c r="H15" s="26">
        <f t="shared" si="5"/>
        <v>0</v>
      </c>
      <c r="J15" s="26" t="s">
        <v>40</v>
      </c>
      <c r="K15" s="27">
        <f t="shared" ref="K15:P15" si="12">RTD("em.rtq",,K13,"Time")</f>
        <v>0</v>
      </c>
      <c r="L15" s="27">
        <f t="shared" si="12"/>
        <v>0</v>
      </c>
      <c r="M15" s="27">
        <f t="shared" si="12"/>
        <v>0</v>
      </c>
      <c r="N15" s="27">
        <f t="shared" si="12"/>
        <v>0</v>
      </c>
      <c r="O15" s="27">
        <f t="shared" si="12"/>
        <v>0</v>
      </c>
      <c r="P15" s="27">
        <f t="shared" si="12"/>
        <v>0</v>
      </c>
    </row>
    <row r="16" spans="1:18" x14ac:dyDescent="0.15">
      <c r="A16" s="24" t="s">
        <v>51</v>
      </c>
      <c r="B16" s="26" t="s">
        <v>52</v>
      </c>
      <c r="C16" s="27">
        <f t="shared" si="0"/>
        <v>0</v>
      </c>
      <c r="D16" s="26">
        <f t="shared" si="1"/>
        <v>0</v>
      </c>
      <c r="E16" s="26">
        <f t="shared" si="2"/>
        <v>0</v>
      </c>
      <c r="F16" s="28">
        <f t="shared" si="3"/>
        <v>0</v>
      </c>
      <c r="G16" s="26">
        <f t="shared" si="4"/>
        <v>0</v>
      </c>
      <c r="H16" s="26">
        <f t="shared" si="5"/>
        <v>0</v>
      </c>
      <c r="J16" s="26" t="s">
        <v>41</v>
      </c>
      <c r="K16" s="26">
        <f t="shared" ref="K16:P16" si="13">RTD("em.rtq",,K13,"Now")</f>
        <v>0</v>
      </c>
      <c r="L16" s="26">
        <f t="shared" si="13"/>
        <v>0</v>
      </c>
      <c r="M16" s="26">
        <f t="shared" si="13"/>
        <v>0</v>
      </c>
      <c r="N16" s="26">
        <f t="shared" si="13"/>
        <v>0</v>
      </c>
      <c r="O16" s="26">
        <f t="shared" si="13"/>
        <v>0</v>
      </c>
      <c r="P16" s="26">
        <f t="shared" si="13"/>
        <v>0</v>
      </c>
    </row>
    <row r="17" spans="1:19" x14ac:dyDescent="0.15">
      <c r="A17" s="24" t="s">
        <v>55</v>
      </c>
      <c r="B17" s="26" t="s">
        <v>56</v>
      </c>
      <c r="C17" s="27">
        <f t="shared" si="0"/>
        <v>0</v>
      </c>
      <c r="D17" s="26">
        <f t="shared" si="1"/>
        <v>0</v>
      </c>
      <c r="E17" s="26">
        <f t="shared" si="2"/>
        <v>0</v>
      </c>
      <c r="F17" s="28">
        <f t="shared" si="3"/>
        <v>0</v>
      </c>
      <c r="G17" s="26">
        <f t="shared" si="4"/>
        <v>0</v>
      </c>
      <c r="H17" s="26">
        <f t="shared" si="5"/>
        <v>0</v>
      </c>
      <c r="J17" s="26" t="s">
        <v>143</v>
      </c>
      <c r="K17" s="26">
        <f t="shared" ref="K17:P17" si="14">RTD("em.rtq",,K13,"DifferRange")</f>
        <v>0</v>
      </c>
      <c r="L17" s="26">
        <f t="shared" si="14"/>
        <v>0</v>
      </c>
      <c r="M17" s="26">
        <f t="shared" si="14"/>
        <v>0</v>
      </c>
      <c r="N17" s="26">
        <f t="shared" si="14"/>
        <v>0</v>
      </c>
      <c r="O17" s="26">
        <f t="shared" si="14"/>
        <v>0</v>
      </c>
      <c r="P17" s="26">
        <f t="shared" si="14"/>
        <v>0</v>
      </c>
    </row>
    <row r="18" spans="1:19" x14ac:dyDescent="0.15">
      <c r="A18" s="24" t="s">
        <v>59</v>
      </c>
      <c r="B18" s="26" t="s">
        <v>60</v>
      </c>
      <c r="C18" s="27">
        <f t="shared" si="0"/>
        <v>0</v>
      </c>
      <c r="D18" s="26">
        <f t="shared" si="1"/>
        <v>0</v>
      </c>
      <c r="E18" s="26">
        <f t="shared" si="2"/>
        <v>0</v>
      </c>
      <c r="F18" s="28">
        <f t="shared" si="3"/>
        <v>0</v>
      </c>
      <c r="G18" s="26">
        <f t="shared" si="4"/>
        <v>0</v>
      </c>
      <c r="H18" s="26">
        <f t="shared" si="5"/>
        <v>0</v>
      </c>
    </row>
    <row r="19" spans="1:19" x14ac:dyDescent="0.15">
      <c r="A19" s="24" t="s">
        <v>63</v>
      </c>
      <c r="B19" s="26" t="s">
        <v>64</v>
      </c>
      <c r="C19" s="27">
        <f t="shared" si="0"/>
        <v>0</v>
      </c>
      <c r="D19" s="26">
        <f t="shared" si="1"/>
        <v>0</v>
      </c>
      <c r="E19" s="26">
        <f t="shared" si="2"/>
        <v>0</v>
      </c>
      <c r="F19" s="28">
        <f t="shared" si="3"/>
        <v>0</v>
      </c>
      <c r="G19" s="26">
        <f t="shared" si="4"/>
        <v>0</v>
      </c>
      <c r="H19" s="26">
        <f t="shared" si="5"/>
        <v>0</v>
      </c>
      <c r="J19" s="24" t="s">
        <v>5</v>
      </c>
      <c r="K19" s="24" t="s">
        <v>391</v>
      </c>
      <c r="L19" s="24" t="s">
        <v>392</v>
      </c>
      <c r="M19" s="24" t="s">
        <v>393</v>
      </c>
      <c r="N19" s="24" t="s">
        <v>394</v>
      </c>
      <c r="O19" s="24" t="s">
        <v>395</v>
      </c>
      <c r="P19" s="24" t="s">
        <v>396</v>
      </c>
      <c r="Q19" s="24" t="s">
        <v>397</v>
      </c>
      <c r="R19" s="24" t="s">
        <v>398</v>
      </c>
      <c r="S19" s="24" t="s">
        <v>399</v>
      </c>
    </row>
    <row r="20" spans="1:19" x14ac:dyDescent="0.15">
      <c r="A20" s="24" t="s">
        <v>67</v>
      </c>
      <c r="B20" s="26" t="s">
        <v>68</v>
      </c>
      <c r="C20" s="27">
        <f t="shared" si="0"/>
        <v>0</v>
      </c>
      <c r="D20" s="26">
        <f t="shared" si="1"/>
        <v>0</v>
      </c>
      <c r="E20" s="26">
        <f t="shared" si="2"/>
        <v>0</v>
      </c>
      <c r="F20" s="28">
        <f t="shared" si="3"/>
        <v>0</v>
      </c>
      <c r="G20" s="26">
        <f t="shared" si="4"/>
        <v>0</v>
      </c>
      <c r="H20" s="26">
        <f t="shared" si="5"/>
        <v>0</v>
      </c>
      <c r="J20" s="24" t="s">
        <v>6</v>
      </c>
      <c r="K20" s="24" t="s">
        <v>400</v>
      </c>
      <c r="L20" s="24" t="s">
        <v>401</v>
      </c>
      <c r="M20" s="24" t="s">
        <v>402</v>
      </c>
      <c r="N20" s="24" t="s">
        <v>403</v>
      </c>
      <c r="O20" s="24" t="s">
        <v>404</v>
      </c>
      <c r="P20" s="24" t="s">
        <v>405</v>
      </c>
      <c r="Q20" s="24" t="s">
        <v>406</v>
      </c>
      <c r="R20" s="24" t="s">
        <v>98</v>
      </c>
      <c r="S20" s="24" t="s">
        <v>407</v>
      </c>
    </row>
    <row r="21" spans="1:19" x14ac:dyDescent="0.15">
      <c r="A21" s="24" t="s">
        <v>71</v>
      </c>
      <c r="B21" s="26" t="s">
        <v>72</v>
      </c>
      <c r="C21" s="27">
        <f t="shared" si="0"/>
        <v>0</v>
      </c>
      <c r="D21" s="26">
        <f t="shared" si="1"/>
        <v>0</v>
      </c>
      <c r="E21" s="26">
        <f t="shared" si="2"/>
        <v>0</v>
      </c>
      <c r="F21" s="28">
        <f t="shared" si="3"/>
        <v>0</v>
      </c>
      <c r="G21" s="26">
        <f t="shared" si="4"/>
        <v>0</v>
      </c>
      <c r="H21" s="26">
        <f t="shared" si="5"/>
        <v>0</v>
      </c>
      <c r="J21" s="26" t="s">
        <v>40</v>
      </c>
      <c r="K21" s="27">
        <f t="shared" ref="K21:S21" si="15">RTD("em.rtq",,K19,"Time")</f>
        <v>0</v>
      </c>
      <c r="L21" s="27">
        <f t="shared" si="15"/>
        <v>0</v>
      </c>
      <c r="M21" s="27">
        <f t="shared" si="15"/>
        <v>0</v>
      </c>
      <c r="N21" s="27">
        <f t="shared" si="15"/>
        <v>0</v>
      </c>
      <c r="O21" s="27">
        <f t="shared" si="15"/>
        <v>0</v>
      </c>
      <c r="P21" s="27">
        <f t="shared" si="15"/>
        <v>0</v>
      </c>
      <c r="Q21" s="27">
        <f t="shared" si="15"/>
        <v>0</v>
      </c>
      <c r="R21" s="27">
        <f t="shared" si="15"/>
        <v>0</v>
      </c>
      <c r="S21" s="27">
        <f t="shared" si="15"/>
        <v>0</v>
      </c>
    </row>
    <row r="22" spans="1:19" x14ac:dyDescent="0.15">
      <c r="A22" s="24" t="s">
        <v>75</v>
      </c>
      <c r="B22" s="26" t="s">
        <v>76</v>
      </c>
      <c r="C22" s="27">
        <f t="shared" si="0"/>
        <v>0</v>
      </c>
      <c r="D22" s="26">
        <f t="shared" si="1"/>
        <v>0</v>
      </c>
      <c r="E22" s="26">
        <f t="shared" si="2"/>
        <v>0</v>
      </c>
      <c r="F22" s="28">
        <f t="shared" si="3"/>
        <v>0</v>
      </c>
      <c r="G22" s="26">
        <f t="shared" si="4"/>
        <v>0</v>
      </c>
      <c r="H22" s="26">
        <f t="shared" si="5"/>
        <v>0</v>
      </c>
      <c r="J22" s="26" t="s">
        <v>41</v>
      </c>
      <c r="K22" s="37">
        <f t="shared" ref="K22:S22" si="16">RTD("em.rtq",,K19,"Now")</f>
        <v>0</v>
      </c>
      <c r="L22" s="37">
        <f t="shared" si="16"/>
        <v>0</v>
      </c>
      <c r="M22" s="37">
        <f t="shared" si="16"/>
        <v>0</v>
      </c>
      <c r="N22" s="37">
        <f t="shared" si="16"/>
        <v>0</v>
      </c>
      <c r="O22" s="37">
        <f t="shared" si="16"/>
        <v>0</v>
      </c>
      <c r="P22" s="37">
        <f t="shared" si="16"/>
        <v>0</v>
      </c>
      <c r="Q22" s="37">
        <f t="shared" si="16"/>
        <v>0</v>
      </c>
      <c r="R22" s="37">
        <f t="shared" si="16"/>
        <v>0</v>
      </c>
      <c r="S22" s="37">
        <f t="shared" si="16"/>
        <v>0</v>
      </c>
    </row>
    <row r="23" spans="1:19" x14ac:dyDescent="0.15">
      <c r="A23" s="24" t="s">
        <v>79</v>
      </c>
      <c r="B23" s="26" t="s">
        <v>80</v>
      </c>
      <c r="C23" s="27">
        <f t="shared" si="0"/>
        <v>0</v>
      </c>
      <c r="D23" s="26">
        <f t="shared" si="1"/>
        <v>0</v>
      </c>
      <c r="E23" s="26">
        <f t="shared" si="2"/>
        <v>0</v>
      </c>
      <c r="F23" s="28">
        <f t="shared" si="3"/>
        <v>0</v>
      </c>
      <c r="G23" s="26">
        <f t="shared" si="4"/>
        <v>0</v>
      </c>
      <c r="H23" s="26">
        <f t="shared" si="5"/>
        <v>0</v>
      </c>
      <c r="J23" s="26" t="s">
        <v>143</v>
      </c>
      <c r="K23" s="37">
        <f t="shared" ref="K23:S23" si="17">RTD("em.rtq",,K19,"DifferRange")</f>
        <v>0</v>
      </c>
      <c r="L23" s="37">
        <f t="shared" si="17"/>
        <v>0</v>
      </c>
      <c r="M23" s="37">
        <f t="shared" si="17"/>
        <v>0</v>
      </c>
      <c r="N23" s="37">
        <f t="shared" si="17"/>
        <v>0</v>
      </c>
      <c r="O23" s="37">
        <f t="shared" si="17"/>
        <v>0</v>
      </c>
      <c r="P23" s="37">
        <f t="shared" si="17"/>
        <v>0</v>
      </c>
      <c r="Q23" s="37">
        <f t="shared" si="17"/>
        <v>0</v>
      </c>
      <c r="R23" s="37">
        <f t="shared" si="17"/>
        <v>0</v>
      </c>
      <c r="S23" s="37">
        <f t="shared" si="17"/>
        <v>0</v>
      </c>
    </row>
    <row r="24" spans="1:19" x14ac:dyDescent="0.15">
      <c r="A24" s="24" t="s">
        <v>83</v>
      </c>
      <c r="B24" s="26" t="s">
        <v>84</v>
      </c>
      <c r="C24" s="27">
        <f t="shared" si="0"/>
        <v>0</v>
      </c>
      <c r="D24" s="26">
        <f t="shared" si="1"/>
        <v>0</v>
      </c>
      <c r="E24" s="26">
        <f t="shared" si="2"/>
        <v>0</v>
      </c>
      <c r="F24" s="28">
        <f t="shared" si="3"/>
        <v>0</v>
      </c>
      <c r="G24" s="26">
        <f t="shared" si="4"/>
        <v>0</v>
      </c>
      <c r="H24" s="26">
        <f t="shared" si="5"/>
        <v>0</v>
      </c>
    </row>
    <row r="25" spans="1:19" x14ac:dyDescent="0.15">
      <c r="A25" s="24" t="s">
        <v>87</v>
      </c>
      <c r="B25" s="26" t="s">
        <v>88</v>
      </c>
      <c r="C25" s="27">
        <f t="shared" si="0"/>
        <v>0</v>
      </c>
      <c r="D25" s="26">
        <f t="shared" si="1"/>
        <v>0</v>
      </c>
      <c r="E25" s="26">
        <f t="shared" si="2"/>
        <v>0</v>
      </c>
      <c r="F25" s="28">
        <f t="shared" si="3"/>
        <v>0</v>
      </c>
      <c r="G25" s="26">
        <f t="shared" si="4"/>
        <v>0</v>
      </c>
      <c r="H25" s="26">
        <f t="shared" si="5"/>
        <v>0</v>
      </c>
      <c r="K25" s="38" t="s">
        <v>408</v>
      </c>
      <c r="L25" s="38" t="s">
        <v>409</v>
      </c>
      <c r="O25" s="38" t="s">
        <v>410</v>
      </c>
      <c r="Q25" s="38" t="s">
        <v>411</v>
      </c>
    </row>
    <row r="26" spans="1:19" x14ac:dyDescent="0.15">
      <c r="A26" s="24" t="s">
        <v>91</v>
      </c>
      <c r="B26" s="26" t="s">
        <v>92</v>
      </c>
      <c r="C26" s="27">
        <f t="shared" si="0"/>
        <v>0</v>
      </c>
      <c r="D26" s="26">
        <f t="shared" si="1"/>
        <v>0</v>
      </c>
      <c r="E26" s="26">
        <f t="shared" si="2"/>
        <v>0</v>
      </c>
      <c r="F26" s="28">
        <f t="shared" si="3"/>
        <v>0</v>
      </c>
      <c r="G26" s="26">
        <f t="shared" si="4"/>
        <v>0</v>
      </c>
      <c r="H26" s="26">
        <f t="shared" si="5"/>
        <v>0</v>
      </c>
      <c r="J26" s="26" t="s">
        <v>412</v>
      </c>
    </row>
    <row r="27" spans="1:19" x14ac:dyDescent="0.15">
      <c r="A27" s="24" t="s">
        <v>95</v>
      </c>
      <c r="B27" s="26" t="s">
        <v>96</v>
      </c>
      <c r="C27" s="27">
        <f t="shared" si="0"/>
        <v>0</v>
      </c>
      <c r="D27" s="26">
        <f t="shared" si="1"/>
        <v>0</v>
      </c>
      <c r="E27" s="26">
        <f t="shared" si="2"/>
        <v>0</v>
      </c>
      <c r="F27" s="28">
        <f t="shared" si="3"/>
        <v>0</v>
      </c>
      <c r="G27" s="26">
        <f t="shared" si="4"/>
        <v>0</v>
      </c>
      <c r="H27" s="26">
        <f t="shared" si="5"/>
        <v>0</v>
      </c>
      <c r="J27" s="26" t="s">
        <v>413</v>
      </c>
    </row>
    <row r="28" spans="1:19" x14ac:dyDescent="0.15">
      <c r="A28" s="24" t="s">
        <v>99</v>
      </c>
      <c r="B28" s="26" t="s">
        <v>100</v>
      </c>
      <c r="C28" s="27">
        <f t="shared" si="0"/>
        <v>0</v>
      </c>
      <c r="D28" s="26">
        <f t="shared" si="1"/>
        <v>0</v>
      </c>
      <c r="E28" s="26">
        <f t="shared" si="2"/>
        <v>0</v>
      </c>
      <c r="F28" s="28">
        <f t="shared" si="3"/>
        <v>0</v>
      </c>
      <c r="G28" s="26">
        <f t="shared" si="4"/>
        <v>0</v>
      </c>
      <c r="H28" s="26">
        <f t="shared" si="5"/>
        <v>0</v>
      </c>
    </row>
    <row r="31" spans="1:19" x14ac:dyDescent="0.15">
      <c r="A31" s="29"/>
      <c r="B31" s="29"/>
      <c r="C31" s="29"/>
      <c r="D31" s="29"/>
      <c r="E31" s="29"/>
      <c r="F31" s="30"/>
      <c r="G31" s="29"/>
      <c r="H31" s="30"/>
      <c r="I31" s="29"/>
      <c r="J31" s="30"/>
      <c r="K31" s="29"/>
      <c r="L31" s="29"/>
      <c r="M31" s="29"/>
      <c r="N31" s="29"/>
      <c r="O31" s="39"/>
      <c r="P31" s="29"/>
      <c r="Q31" s="29"/>
    </row>
    <row r="32" spans="1:19" x14ac:dyDescent="0.15">
      <c r="A32" s="31" t="s">
        <v>5</v>
      </c>
      <c r="B32" s="31" t="s">
        <v>6</v>
      </c>
      <c r="C32" s="31" t="s">
        <v>40</v>
      </c>
      <c r="D32" s="31" t="s">
        <v>41</v>
      </c>
      <c r="E32" s="31" t="s">
        <v>143</v>
      </c>
      <c r="F32" s="32" t="s">
        <v>414</v>
      </c>
      <c r="G32" s="31" t="s">
        <v>43</v>
      </c>
      <c r="H32" s="32" t="s">
        <v>44</v>
      </c>
      <c r="I32" s="31" t="s">
        <v>45</v>
      </c>
      <c r="J32" s="32" t="s">
        <v>46</v>
      </c>
      <c r="K32" s="31" t="s">
        <v>359</v>
      </c>
      <c r="L32" s="31" t="s">
        <v>360</v>
      </c>
      <c r="M32" s="29"/>
      <c r="N32" s="29"/>
      <c r="O32" s="39"/>
      <c r="P32" s="29"/>
      <c r="Q32" s="29"/>
    </row>
    <row r="33" spans="1:17" x14ac:dyDescent="0.15">
      <c r="A33" s="31" t="s">
        <v>393</v>
      </c>
      <c r="B33" s="33" t="s">
        <v>402</v>
      </c>
      <c r="C33" s="34">
        <f t="shared" ref="C33:C70" si="18">RTD("em.rtq",,A33,"Time")</f>
        <v>0</v>
      </c>
      <c r="D33" s="33">
        <f t="shared" ref="D33:D70" si="19">RTD("em.rtq",,A33,"Now")</f>
        <v>0</v>
      </c>
      <c r="E33" s="33">
        <f t="shared" ref="E33:E70" si="20">RTD("em.rtq",,A33,"DifferRange")</f>
        <v>0</v>
      </c>
      <c r="F33" s="35">
        <f t="shared" ref="F33:F70" si="21">RTD("em.rtq",,A33,"Volume")</f>
        <v>0</v>
      </c>
      <c r="G33" s="33">
        <f t="shared" ref="G33:G70" si="22">RTD("em.rtq",,A33,"BuyPrice1")</f>
        <v>0</v>
      </c>
      <c r="H33" s="35">
        <f t="shared" ref="H33:H70" si="23">RTD("em.rtq",,A33,"BuyVolume1")</f>
        <v>0</v>
      </c>
      <c r="I33" s="33">
        <f t="shared" ref="I33:I70" si="24">RTD("em.rtq",,A33,"SellPrice1")</f>
        <v>0</v>
      </c>
      <c r="J33" s="35">
        <f t="shared" ref="J33:J70" si="25">RTD("em.rtq",,A33,"SellVolume1")</f>
        <v>0</v>
      </c>
      <c r="K33" s="33">
        <f t="shared" ref="K33:K70" si="26">RTD("em.rtq",,A33,"IOPV")</f>
        <v>0</v>
      </c>
      <c r="L33" s="33">
        <f t="shared" ref="L33:L70" si="27">RTD("em.rtq",,A33,"OverflowRate")</f>
        <v>0</v>
      </c>
      <c r="M33" s="29"/>
      <c r="N33" s="29"/>
      <c r="O33" s="39" t="s">
        <v>415</v>
      </c>
      <c r="P33" s="29"/>
      <c r="Q33" s="29" t="s">
        <v>416</v>
      </c>
    </row>
    <row r="34" spans="1:17" x14ac:dyDescent="0.15">
      <c r="A34" s="31" t="s">
        <v>16</v>
      </c>
      <c r="B34" s="33" t="s">
        <v>17</v>
      </c>
      <c r="C34" s="34">
        <f t="shared" si="18"/>
        <v>0</v>
      </c>
      <c r="D34" s="33">
        <f t="shared" si="19"/>
        <v>0</v>
      </c>
      <c r="E34" s="33">
        <f t="shared" si="20"/>
        <v>0</v>
      </c>
      <c r="F34" s="35">
        <f t="shared" si="21"/>
        <v>0</v>
      </c>
      <c r="G34" s="33">
        <f t="shared" si="22"/>
        <v>0</v>
      </c>
      <c r="H34" s="35">
        <f t="shared" si="23"/>
        <v>0</v>
      </c>
      <c r="I34" s="33">
        <f t="shared" si="24"/>
        <v>0</v>
      </c>
      <c r="J34" s="35">
        <f t="shared" si="25"/>
        <v>0</v>
      </c>
      <c r="K34" s="33">
        <f t="shared" si="26"/>
        <v>0</v>
      </c>
      <c r="L34" s="33">
        <f t="shared" si="27"/>
        <v>0</v>
      </c>
      <c r="M34" s="29"/>
      <c r="N34" s="31" t="s">
        <v>16</v>
      </c>
      <c r="O34" s="39">
        <f>L34</f>
        <v>0</v>
      </c>
      <c r="P34" s="29"/>
      <c r="Q34" s="43"/>
    </row>
    <row r="35" spans="1:17" x14ac:dyDescent="0.15">
      <c r="A35" s="31" t="s">
        <v>18</v>
      </c>
      <c r="B35" s="33" t="s">
        <v>19</v>
      </c>
      <c r="C35" s="34">
        <f t="shared" si="18"/>
        <v>0</v>
      </c>
      <c r="D35" s="33">
        <f t="shared" si="19"/>
        <v>0</v>
      </c>
      <c r="E35" s="33">
        <f t="shared" si="20"/>
        <v>0</v>
      </c>
      <c r="F35" s="35">
        <f t="shared" si="21"/>
        <v>0</v>
      </c>
      <c r="G35" s="33">
        <f t="shared" si="22"/>
        <v>0</v>
      </c>
      <c r="H35" s="35">
        <f t="shared" si="23"/>
        <v>0</v>
      </c>
      <c r="I35" s="33">
        <f t="shared" si="24"/>
        <v>0</v>
      </c>
      <c r="J35" s="35">
        <f t="shared" si="25"/>
        <v>0</v>
      </c>
      <c r="K35" s="33">
        <f t="shared" si="26"/>
        <v>0</v>
      </c>
      <c r="L35" s="33">
        <f t="shared" si="27"/>
        <v>0</v>
      </c>
      <c r="M35" s="29"/>
      <c r="N35" s="31" t="s">
        <v>18</v>
      </c>
      <c r="O35" s="40" t="e">
        <f>(D35/Q35-1)*100</f>
        <v>#DIV/0!</v>
      </c>
      <c r="P35" s="29"/>
      <c r="Q35" s="43" t="e">
        <f>K35/K10*L10</f>
        <v>#DIV/0!</v>
      </c>
    </row>
    <row r="36" spans="1:17" x14ac:dyDescent="0.15">
      <c r="A36" s="31" t="s">
        <v>20</v>
      </c>
      <c r="B36" s="33" t="s">
        <v>17</v>
      </c>
      <c r="C36" s="34">
        <f t="shared" si="18"/>
        <v>0</v>
      </c>
      <c r="D36" s="33">
        <f t="shared" si="19"/>
        <v>0</v>
      </c>
      <c r="E36" s="33">
        <f t="shared" si="20"/>
        <v>0</v>
      </c>
      <c r="F36" s="35">
        <f t="shared" si="21"/>
        <v>0</v>
      </c>
      <c r="G36" s="33">
        <f t="shared" si="22"/>
        <v>0</v>
      </c>
      <c r="H36" s="35">
        <f t="shared" si="23"/>
        <v>0</v>
      </c>
      <c r="I36" s="33">
        <f t="shared" si="24"/>
        <v>0</v>
      </c>
      <c r="J36" s="35">
        <f t="shared" si="25"/>
        <v>0</v>
      </c>
      <c r="K36" s="33">
        <f t="shared" si="26"/>
        <v>0</v>
      </c>
      <c r="L36" s="33">
        <f t="shared" si="27"/>
        <v>0</v>
      </c>
      <c r="M36" s="29"/>
      <c r="N36" s="31" t="s">
        <v>20</v>
      </c>
      <c r="O36" s="39">
        <f>L36</f>
        <v>0</v>
      </c>
      <c r="P36" s="29"/>
      <c r="Q36" s="43"/>
    </row>
    <row r="37" spans="1:17" x14ac:dyDescent="0.15">
      <c r="A37" s="31" t="s">
        <v>38</v>
      </c>
      <c r="B37" s="33" t="s">
        <v>39</v>
      </c>
      <c r="C37" s="34">
        <f t="shared" si="18"/>
        <v>0</v>
      </c>
      <c r="D37" s="33">
        <f t="shared" si="19"/>
        <v>0</v>
      </c>
      <c r="E37" s="33">
        <f t="shared" si="20"/>
        <v>0</v>
      </c>
      <c r="F37" s="35">
        <f t="shared" si="21"/>
        <v>0</v>
      </c>
      <c r="G37" s="33">
        <f t="shared" si="22"/>
        <v>0</v>
      </c>
      <c r="H37" s="35">
        <f t="shared" si="23"/>
        <v>0</v>
      </c>
      <c r="I37" s="33">
        <f t="shared" si="24"/>
        <v>0</v>
      </c>
      <c r="J37" s="35">
        <f t="shared" si="25"/>
        <v>0</v>
      </c>
      <c r="K37" s="33">
        <f t="shared" si="26"/>
        <v>0</v>
      </c>
      <c r="L37" s="33">
        <f t="shared" si="27"/>
        <v>0</v>
      </c>
      <c r="M37" s="29"/>
      <c r="N37" s="31" t="s">
        <v>38</v>
      </c>
      <c r="O37" s="39" t="e">
        <f>(D37/Q37-1)*100</f>
        <v>#DIV/0!</v>
      </c>
      <c r="P37" s="29"/>
      <c r="Q37" s="43" t="e">
        <f>K37/K10*L10</f>
        <v>#DIV/0!</v>
      </c>
    </row>
    <row r="38" spans="1:17" x14ac:dyDescent="0.15">
      <c r="A38" s="31" t="s">
        <v>399</v>
      </c>
      <c r="B38" s="33" t="s">
        <v>417</v>
      </c>
      <c r="C38" s="34">
        <f t="shared" si="18"/>
        <v>0</v>
      </c>
      <c r="D38" s="33">
        <f t="shared" si="19"/>
        <v>0</v>
      </c>
      <c r="E38" s="33">
        <f t="shared" si="20"/>
        <v>0</v>
      </c>
      <c r="F38" s="35">
        <f t="shared" si="21"/>
        <v>0</v>
      </c>
      <c r="G38" s="33">
        <f t="shared" si="22"/>
        <v>0</v>
      </c>
      <c r="H38" s="35">
        <f t="shared" si="23"/>
        <v>0</v>
      </c>
      <c r="I38" s="33">
        <f t="shared" si="24"/>
        <v>0</v>
      </c>
      <c r="J38" s="35">
        <f t="shared" si="25"/>
        <v>0</v>
      </c>
      <c r="K38" s="33">
        <f t="shared" si="26"/>
        <v>0</v>
      </c>
      <c r="L38" s="33">
        <f t="shared" si="27"/>
        <v>0</v>
      </c>
      <c r="M38" s="29"/>
      <c r="N38" s="29"/>
      <c r="O38" s="39"/>
      <c r="P38" s="29"/>
      <c r="Q38" s="43"/>
    </row>
    <row r="39" spans="1:17" x14ac:dyDescent="0.15">
      <c r="A39" s="31" t="s">
        <v>34</v>
      </c>
      <c r="B39" s="33" t="s">
        <v>22</v>
      </c>
      <c r="C39" s="34">
        <f t="shared" si="18"/>
        <v>0</v>
      </c>
      <c r="D39" s="33">
        <f t="shared" si="19"/>
        <v>0</v>
      </c>
      <c r="E39" s="33">
        <f t="shared" si="20"/>
        <v>0</v>
      </c>
      <c r="F39" s="35">
        <f t="shared" si="21"/>
        <v>0</v>
      </c>
      <c r="G39" s="33">
        <f t="shared" si="22"/>
        <v>0</v>
      </c>
      <c r="H39" s="35">
        <f t="shared" si="23"/>
        <v>0</v>
      </c>
      <c r="I39" s="33">
        <f t="shared" si="24"/>
        <v>0</v>
      </c>
      <c r="J39" s="35">
        <f t="shared" si="25"/>
        <v>0</v>
      </c>
      <c r="K39" s="33">
        <f t="shared" si="26"/>
        <v>0</v>
      </c>
      <c r="L39" s="33">
        <f t="shared" si="27"/>
        <v>0</v>
      </c>
      <c r="M39" s="29"/>
      <c r="N39" s="31" t="s">
        <v>34</v>
      </c>
      <c r="O39" s="39">
        <f>L39</f>
        <v>0</v>
      </c>
      <c r="P39" s="29"/>
      <c r="Q39" s="43"/>
    </row>
    <row r="40" spans="1:17" x14ac:dyDescent="0.15">
      <c r="A40" s="31" t="s">
        <v>21</v>
      </c>
      <c r="B40" s="33" t="s">
        <v>22</v>
      </c>
      <c r="C40" s="34">
        <f t="shared" si="18"/>
        <v>0</v>
      </c>
      <c r="D40" s="33">
        <f t="shared" si="19"/>
        <v>0</v>
      </c>
      <c r="E40" s="33">
        <f t="shared" si="20"/>
        <v>0</v>
      </c>
      <c r="F40" s="35">
        <f t="shared" si="21"/>
        <v>0</v>
      </c>
      <c r="G40" s="33">
        <f t="shared" si="22"/>
        <v>0</v>
      </c>
      <c r="H40" s="35">
        <f t="shared" si="23"/>
        <v>0</v>
      </c>
      <c r="I40" s="33">
        <f t="shared" si="24"/>
        <v>0</v>
      </c>
      <c r="J40" s="35">
        <f t="shared" si="25"/>
        <v>0</v>
      </c>
      <c r="K40" s="33">
        <f t="shared" si="26"/>
        <v>0</v>
      </c>
      <c r="L40" s="33">
        <f t="shared" si="27"/>
        <v>0</v>
      </c>
      <c r="M40" s="29"/>
      <c r="N40" s="31" t="s">
        <v>21</v>
      </c>
      <c r="O40" s="39">
        <f>L40</f>
        <v>0</v>
      </c>
      <c r="P40" s="29"/>
      <c r="Q40" s="43"/>
    </row>
    <row r="41" spans="1:17" x14ac:dyDescent="0.15">
      <c r="A41" s="31" t="s">
        <v>32</v>
      </c>
      <c r="B41" s="33" t="s">
        <v>33</v>
      </c>
      <c r="C41" s="34">
        <f t="shared" si="18"/>
        <v>0</v>
      </c>
      <c r="D41" s="33">
        <f t="shared" si="19"/>
        <v>0</v>
      </c>
      <c r="E41" s="33">
        <f t="shared" si="20"/>
        <v>0</v>
      </c>
      <c r="F41" s="35">
        <f t="shared" si="21"/>
        <v>0</v>
      </c>
      <c r="G41" s="33">
        <f t="shared" si="22"/>
        <v>0</v>
      </c>
      <c r="H41" s="35">
        <f t="shared" si="23"/>
        <v>0</v>
      </c>
      <c r="I41" s="33">
        <f t="shared" si="24"/>
        <v>0</v>
      </c>
      <c r="J41" s="35">
        <f t="shared" si="25"/>
        <v>0</v>
      </c>
      <c r="K41" s="33">
        <f t="shared" si="26"/>
        <v>0</v>
      </c>
      <c r="L41" s="33">
        <f t="shared" si="27"/>
        <v>0</v>
      </c>
      <c r="M41" s="29"/>
      <c r="N41" s="31" t="s">
        <v>32</v>
      </c>
      <c r="O41" s="39" t="e">
        <f>(D41/Q41-1)*100</f>
        <v>#DIV/0!</v>
      </c>
      <c r="P41" s="29"/>
      <c r="Q41" s="43" t="e">
        <f>K41/K10*L10</f>
        <v>#DIV/0!</v>
      </c>
    </row>
    <row r="42" spans="1:17" x14ac:dyDescent="0.15">
      <c r="A42" s="31" t="s">
        <v>36</v>
      </c>
      <c r="B42" s="33" t="s">
        <v>37</v>
      </c>
      <c r="C42" s="34">
        <f t="shared" si="18"/>
        <v>0</v>
      </c>
      <c r="D42" s="33">
        <f t="shared" si="19"/>
        <v>0</v>
      </c>
      <c r="E42" s="33">
        <f t="shared" si="20"/>
        <v>0</v>
      </c>
      <c r="F42" s="35">
        <f t="shared" si="21"/>
        <v>0</v>
      </c>
      <c r="G42" s="33">
        <f t="shared" si="22"/>
        <v>0</v>
      </c>
      <c r="H42" s="35">
        <f t="shared" si="23"/>
        <v>0</v>
      </c>
      <c r="I42" s="33">
        <f t="shared" si="24"/>
        <v>0</v>
      </c>
      <c r="J42" s="35">
        <f t="shared" si="25"/>
        <v>0</v>
      </c>
      <c r="K42" s="33">
        <f t="shared" si="26"/>
        <v>0</v>
      </c>
      <c r="L42" s="33">
        <f t="shared" si="27"/>
        <v>0</v>
      </c>
      <c r="M42" s="29"/>
      <c r="N42" s="31" t="s">
        <v>36</v>
      </c>
      <c r="O42" s="39">
        <f>L42</f>
        <v>0</v>
      </c>
      <c r="P42" s="29"/>
      <c r="Q42" s="29"/>
    </row>
    <row r="43" spans="1:17" x14ac:dyDescent="0.15">
      <c r="A43" s="31" t="s">
        <v>30</v>
      </c>
      <c r="B43" s="33" t="s">
        <v>31</v>
      </c>
      <c r="C43" s="34">
        <f t="shared" si="18"/>
        <v>0</v>
      </c>
      <c r="D43" s="33">
        <f t="shared" si="19"/>
        <v>0</v>
      </c>
      <c r="E43" s="33">
        <f t="shared" si="20"/>
        <v>0</v>
      </c>
      <c r="F43" s="35">
        <f t="shared" si="21"/>
        <v>0</v>
      </c>
      <c r="G43" s="33">
        <f t="shared" si="22"/>
        <v>0</v>
      </c>
      <c r="H43" s="35">
        <f t="shared" si="23"/>
        <v>0</v>
      </c>
      <c r="I43" s="33">
        <f t="shared" si="24"/>
        <v>0</v>
      </c>
      <c r="J43" s="35">
        <f t="shared" si="25"/>
        <v>0</v>
      </c>
      <c r="K43" s="33">
        <f t="shared" si="26"/>
        <v>0</v>
      </c>
      <c r="L43" s="33">
        <f t="shared" si="27"/>
        <v>0</v>
      </c>
      <c r="M43" s="29"/>
      <c r="N43" s="31" t="s">
        <v>30</v>
      </c>
      <c r="O43" s="39">
        <f>L43</f>
        <v>0</v>
      </c>
      <c r="P43" s="29"/>
      <c r="Q43" s="29"/>
    </row>
    <row r="44" spans="1:17" x14ac:dyDescent="0.15">
      <c r="A44" s="31" t="s">
        <v>418</v>
      </c>
      <c r="B44" s="33" t="s">
        <v>419</v>
      </c>
      <c r="C44" s="34">
        <f t="shared" si="18"/>
        <v>0</v>
      </c>
      <c r="D44" s="33">
        <f t="shared" si="19"/>
        <v>0</v>
      </c>
      <c r="E44" s="33">
        <f t="shared" si="20"/>
        <v>0</v>
      </c>
      <c r="F44" s="35">
        <f t="shared" si="21"/>
        <v>0</v>
      </c>
      <c r="G44" s="33">
        <f t="shared" si="22"/>
        <v>0</v>
      </c>
      <c r="H44" s="35">
        <f t="shared" si="23"/>
        <v>0</v>
      </c>
      <c r="I44" s="33">
        <f t="shared" si="24"/>
        <v>0</v>
      </c>
      <c r="J44" s="35">
        <f t="shared" si="25"/>
        <v>0</v>
      </c>
      <c r="K44" s="33">
        <f t="shared" si="26"/>
        <v>0</v>
      </c>
      <c r="L44" s="33">
        <f t="shared" si="27"/>
        <v>0</v>
      </c>
      <c r="M44" s="29"/>
      <c r="N44" s="29"/>
      <c r="O44" s="39"/>
      <c r="P44" s="29"/>
      <c r="Q44" s="31"/>
    </row>
    <row r="45" spans="1:17" x14ac:dyDescent="0.15">
      <c r="A45" s="31" t="s">
        <v>49</v>
      </c>
      <c r="B45" s="33" t="s">
        <v>50</v>
      </c>
      <c r="C45" s="34">
        <f t="shared" si="18"/>
        <v>0</v>
      </c>
      <c r="D45" s="33">
        <f t="shared" si="19"/>
        <v>0</v>
      </c>
      <c r="E45" s="33">
        <f t="shared" si="20"/>
        <v>0</v>
      </c>
      <c r="F45" s="35">
        <f t="shared" si="21"/>
        <v>0</v>
      </c>
      <c r="G45" s="33">
        <f t="shared" si="22"/>
        <v>0</v>
      </c>
      <c r="H45" s="35">
        <f t="shared" si="23"/>
        <v>0</v>
      </c>
      <c r="I45" s="33">
        <f t="shared" si="24"/>
        <v>0</v>
      </c>
      <c r="J45" s="35">
        <f t="shared" si="25"/>
        <v>0</v>
      </c>
      <c r="K45" s="33">
        <f t="shared" si="26"/>
        <v>0</v>
      </c>
      <c r="L45" s="33">
        <f t="shared" si="27"/>
        <v>0</v>
      </c>
      <c r="M45" s="29"/>
      <c r="N45" s="31" t="s">
        <v>49</v>
      </c>
      <c r="O45" s="39" t="e">
        <f>(D45/D61-1)*100-E44</f>
        <v>#DIV/0!</v>
      </c>
      <c r="P45" s="29"/>
      <c r="Q45" s="31"/>
    </row>
    <row r="46" spans="1:17" x14ac:dyDescent="0.15">
      <c r="A46" s="31" t="s">
        <v>420</v>
      </c>
      <c r="B46" s="33" t="s">
        <v>421</v>
      </c>
      <c r="C46" s="34">
        <f t="shared" si="18"/>
        <v>0</v>
      </c>
      <c r="D46" s="33">
        <f t="shared" si="19"/>
        <v>0</v>
      </c>
      <c r="E46" s="33">
        <f t="shared" si="20"/>
        <v>0</v>
      </c>
      <c r="F46" s="35">
        <f t="shared" si="21"/>
        <v>0</v>
      </c>
      <c r="G46" s="33">
        <f t="shared" si="22"/>
        <v>0</v>
      </c>
      <c r="H46" s="35">
        <f t="shared" si="23"/>
        <v>0</v>
      </c>
      <c r="I46" s="33">
        <f t="shared" si="24"/>
        <v>0</v>
      </c>
      <c r="J46" s="35">
        <f t="shared" si="25"/>
        <v>0</v>
      </c>
      <c r="K46" s="33">
        <f t="shared" si="26"/>
        <v>0</v>
      </c>
      <c r="L46" s="33">
        <f t="shared" si="27"/>
        <v>0</v>
      </c>
      <c r="M46" s="29"/>
      <c r="N46" s="29"/>
      <c r="O46" s="39"/>
      <c r="P46" s="29"/>
      <c r="Q46" s="31"/>
    </row>
    <row r="47" spans="1:17" x14ac:dyDescent="0.15">
      <c r="A47" s="31" t="s">
        <v>422</v>
      </c>
      <c r="B47" s="33" t="s">
        <v>423</v>
      </c>
      <c r="C47" s="34">
        <f t="shared" si="18"/>
        <v>0</v>
      </c>
      <c r="D47" s="33">
        <f t="shared" si="19"/>
        <v>0</v>
      </c>
      <c r="E47" s="33">
        <f t="shared" si="20"/>
        <v>0</v>
      </c>
      <c r="F47" s="35">
        <f t="shared" si="21"/>
        <v>0</v>
      </c>
      <c r="G47" s="33">
        <f t="shared" si="22"/>
        <v>0</v>
      </c>
      <c r="H47" s="35">
        <f t="shared" si="23"/>
        <v>0</v>
      </c>
      <c r="I47" s="33">
        <f t="shared" si="24"/>
        <v>0</v>
      </c>
      <c r="J47" s="35">
        <f t="shared" si="25"/>
        <v>0</v>
      </c>
      <c r="K47" s="33">
        <f t="shared" si="26"/>
        <v>0</v>
      </c>
      <c r="L47" s="33">
        <f t="shared" si="27"/>
        <v>0</v>
      </c>
      <c r="M47" s="29"/>
      <c r="N47" s="31" t="s">
        <v>422</v>
      </c>
      <c r="O47" s="39" t="e">
        <f>(D47/D62-1)*100-E46*0.9</f>
        <v>#DIV/0!</v>
      </c>
      <c r="P47" s="41"/>
      <c r="Q47" s="31"/>
    </row>
    <row r="48" spans="1:17" x14ac:dyDescent="0.15">
      <c r="A48" s="31" t="s">
        <v>424</v>
      </c>
      <c r="B48" s="33" t="s">
        <v>425</v>
      </c>
      <c r="C48" s="34">
        <f t="shared" si="18"/>
        <v>0</v>
      </c>
      <c r="D48" s="33">
        <f t="shared" si="19"/>
        <v>0</v>
      </c>
      <c r="E48" s="33">
        <f t="shared" si="20"/>
        <v>0</v>
      </c>
      <c r="F48" s="35">
        <f t="shared" si="21"/>
        <v>0</v>
      </c>
      <c r="G48" s="33">
        <f t="shared" si="22"/>
        <v>0</v>
      </c>
      <c r="H48" s="35">
        <f t="shared" si="23"/>
        <v>0</v>
      </c>
      <c r="I48" s="33">
        <f t="shared" si="24"/>
        <v>0</v>
      </c>
      <c r="J48" s="35">
        <f t="shared" si="25"/>
        <v>0</v>
      </c>
      <c r="K48" s="33">
        <f t="shared" si="26"/>
        <v>0</v>
      </c>
      <c r="L48" s="33">
        <f t="shared" si="27"/>
        <v>0</v>
      </c>
      <c r="M48" s="29"/>
      <c r="N48" s="29"/>
      <c r="O48" s="39"/>
      <c r="P48" s="29"/>
      <c r="Q48" s="31"/>
    </row>
    <row r="49" spans="1:17" x14ac:dyDescent="0.15">
      <c r="A49" s="31" t="s">
        <v>53</v>
      </c>
      <c r="B49" s="33" t="s">
        <v>54</v>
      </c>
      <c r="C49" s="34">
        <f t="shared" si="18"/>
        <v>0</v>
      </c>
      <c r="D49" s="33">
        <f t="shared" si="19"/>
        <v>0</v>
      </c>
      <c r="E49" s="33">
        <f t="shared" si="20"/>
        <v>0</v>
      </c>
      <c r="F49" s="35">
        <f t="shared" si="21"/>
        <v>0</v>
      </c>
      <c r="G49" s="33">
        <f t="shared" si="22"/>
        <v>0</v>
      </c>
      <c r="H49" s="35">
        <f t="shared" si="23"/>
        <v>0</v>
      </c>
      <c r="I49" s="33">
        <f t="shared" si="24"/>
        <v>0</v>
      </c>
      <c r="J49" s="35">
        <f t="shared" si="25"/>
        <v>0</v>
      </c>
      <c r="K49" s="33">
        <f t="shared" si="26"/>
        <v>0</v>
      </c>
      <c r="L49" s="33">
        <f t="shared" si="27"/>
        <v>0</v>
      </c>
      <c r="M49" s="29"/>
      <c r="N49" s="31" t="s">
        <v>53</v>
      </c>
      <c r="O49" s="39" t="e">
        <f>(D49/D63-1)*100-E48*0.9</f>
        <v>#DIV/0!</v>
      </c>
      <c r="P49" s="29"/>
      <c r="Q49" s="31"/>
    </row>
    <row r="50" spans="1:17" x14ac:dyDescent="0.15">
      <c r="A50" s="31" t="s">
        <v>426</v>
      </c>
      <c r="B50" s="33" t="s">
        <v>427</v>
      </c>
      <c r="C50" s="34">
        <f t="shared" si="18"/>
        <v>0</v>
      </c>
      <c r="D50" s="33">
        <f t="shared" si="19"/>
        <v>0</v>
      </c>
      <c r="E50" s="33">
        <f t="shared" si="20"/>
        <v>0</v>
      </c>
      <c r="F50" s="35">
        <f t="shared" si="21"/>
        <v>0</v>
      </c>
      <c r="G50" s="33">
        <f t="shared" si="22"/>
        <v>0</v>
      </c>
      <c r="H50" s="35">
        <f t="shared" si="23"/>
        <v>0</v>
      </c>
      <c r="I50" s="33">
        <f t="shared" si="24"/>
        <v>0</v>
      </c>
      <c r="J50" s="35">
        <f t="shared" si="25"/>
        <v>0</v>
      </c>
      <c r="K50" s="33">
        <f t="shared" si="26"/>
        <v>0</v>
      </c>
      <c r="L50" s="33">
        <f t="shared" si="27"/>
        <v>0</v>
      </c>
      <c r="M50" s="29"/>
      <c r="N50" s="29"/>
      <c r="O50" s="39"/>
      <c r="P50" s="29"/>
      <c r="Q50" s="31"/>
    </row>
    <row r="51" spans="1:17" x14ac:dyDescent="0.15">
      <c r="A51" s="31" t="s">
        <v>57</v>
      </c>
      <c r="B51" s="33" t="s">
        <v>58</v>
      </c>
      <c r="C51" s="34">
        <f t="shared" si="18"/>
        <v>0</v>
      </c>
      <c r="D51" s="33">
        <f t="shared" si="19"/>
        <v>0</v>
      </c>
      <c r="E51" s="33">
        <f t="shared" si="20"/>
        <v>0</v>
      </c>
      <c r="F51" s="35">
        <f t="shared" si="21"/>
        <v>0</v>
      </c>
      <c r="G51" s="33">
        <f t="shared" si="22"/>
        <v>0</v>
      </c>
      <c r="H51" s="35">
        <f t="shared" si="23"/>
        <v>0</v>
      </c>
      <c r="I51" s="33">
        <f t="shared" si="24"/>
        <v>0</v>
      </c>
      <c r="J51" s="35">
        <f t="shared" si="25"/>
        <v>0</v>
      </c>
      <c r="K51" s="33">
        <f t="shared" si="26"/>
        <v>0</v>
      </c>
      <c r="L51" s="33">
        <f t="shared" si="27"/>
        <v>0</v>
      </c>
      <c r="M51" s="29"/>
      <c r="N51" s="31" t="s">
        <v>57</v>
      </c>
      <c r="O51" s="39" t="e">
        <f>(D51/D64-1)*100-E50*0.9</f>
        <v>#DIV/0!</v>
      </c>
      <c r="P51" s="29"/>
      <c r="Q51" s="31"/>
    </row>
    <row r="52" spans="1:17" x14ac:dyDescent="0.15">
      <c r="A52" s="31" t="s">
        <v>428</v>
      </c>
      <c r="B52" s="33" t="s">
        <v>429</v>
      </c>
      <c r="C52" s="34">
        <f t="shared" si="18"/>
        <v>0</v>
      </c>
      <c r="D52" s="33">
        <f t="shared" si="19"/>
        <v>0</v>
      </c>
      <c r="E52" s="33">
        <f t="shared" si="20"/>
        <v>0</v>
      </c>
      <c r="F52" s="35">
        <f t="shared" si="21"/>
        <v>0</v>
      </c>
      <c r="G52" s="33">
        <f t="shared" si="22"/>
        <v>0</v>
      </c>
      <c r="H52" s="35">
        <f t="shared" si="23"/>
        <v>0</v>
      </c>
      <c r="I52" s="33">
        <f t="shared" si="24"/>
        <v>0</v>
      </c>
      <c r="J52" s="35">
        <f t="shared" si="25"/>
        <v>0</v>
      </c>
      <c r="K52" s="33">
        <f t="shared" si="26"/>
        <v>0</v>
      </c>
      <c r="L52" s="33">
        <f t="shared" si="27"/>
        <v>0</v>
      </c>
      <c r="M52" s="29"/>
      <c r="N52" s="29"/>
      <c r="O52" s="39"/>
      <c r="P52" s="29"/>
      <c r="Q52" s="31"/>
    </row>
    <row r="53" spans="1:17" x14ac:dyDescent="0.15">
      <c r="A53" s="31" t="s">
        <v>61</v>
      </c>
      <c r="B53" s="33" t="s">
        <v>62</v>
      </c>
      <c r="C53" s="34">
        <f t="shared" si="18"/>
        <v>0</v>
      </c>
      <c r="D53" s="33">
        <f t="shared" si="19"/>
        <v>0</v>
      </c>
      <c r="E53" s="33">
        <f t="shared" si="20"/>
        <v>0</v>
      </c>
      <c r="F53" s="35">
        <f t="shared" si="21"/>
        <v>0</v>
      </c>
      <c r="G53" s="33">
        <f t="shared" si="22"/>
        <v>0</v>
      </c>
      <c r="H53" s="35">
        <f t="shared" si="23"/>
        <v>0</v>
      </c>
      <c r="I53" s="33">
        <f t="shared" si="24"/>
        <v>0</v>
      </c>
      <c r="J53" s="35">
        <f t="shared" si="25"/>
        <v>0</v>
      </c>
      <c r="K53" s="33">
        <f t="shared" si="26"/>
        <v>0</v>
      </c>
      <c r="L53" s="33">
        <f t="shared" si="27"/>
        <v>0</v>
      </c>
      <c r="M53" s="29"/>
      <c r="N53" s="31" t="s">
        <v>61</v>
      </c>
      <c r="O53" s="39" t="e">
        <f>(D53/D65-1)*100-E52*0.9</f>
        <v>#DIV/0!</v>
      </c>
      <c r="P53" s="29"/>
      <c r="Q53" s="31"/>
    </row>
    <row r="54" spans="1:17" x14ac:dyDescent="0.15">
      <c r="A54" s="31" t="s">
        <v>65</v>
      </c>
      <c r="B54" s="33" t="s">
        <v>66</v>
      </c>
      <c r="C54" s="34">
        <f t="shared" si="18"/>
        <v>0</v>
      </c>
      <c r="D54" s="33">
        <f t="shared" si="19"/>
        <v>0</v>
      </c>
      <c r="E54" s="33">
        <f t="shared" si="20"/>
        <v>0</v>
      </c>
      <c r="F54" s="35">
        <f t="shared" si="21"/>
        <v>0</v>
      </c>
      <c r="G54" s="33">
        <f t="shared" si="22"/>
        <v>0</v>
      </c>
      <c r="H54" s="35">
        <f t="shared" si="23"/>
        <v>0</v>
      </c>
      <c r="I54" s="33">
        <f t="shared" si="24"/>
        <v>0</v>
      </c>
      <c r="J54" s="35">
        <f t="shared" si="25"/>
        <v>0</v>
      </c>
      <c r="K54" s="33">
        <f t="shared" si="26"/>
        <v>0</v>
      </c>
      <c r="L54" s="33">
        <f t="shared" si="27"/>
        <v>0</v>
      </c>
      <c r="M54" s="29"/>
      <c r="N54" s="31" t="s">
        <v>65</v>
      </c>
      <c r="O54" s="39" t="e">
        <f>(D54/D66-1)*100-E33*0.9</f>
        <v>#DIV/0!</v>
      </c>
      <c r="P54" s="29"/>
      <c r="Q54" s="31"/>
    </row>
    <row r="55" spans="1:17" x14ac:dyDescent="0.15">
      <c r="A55" s="31" t="s">
        <v>69</v>
      </c>
      <c r="B55" s="33" t="s">
        <v>70</v>
      </c>
      <c r="C55" s="34">
        <f t="shared" si="18"/>
        <v>0</v>
      </c>
      <c r="D55" s="33">
        <f t="shared" si="19"/>
        <v>0</v>
      </c>
      <c r="E55" s="33">
        <f t="shared" si="20"/>
        <v>0</v>
      </c>
      <c r="F55" s="35">
        <f t="shared" si="21"/>
        <v>0</v>
      </c>
      <c r="G55" s="33">
        <f t="shared" si="22"/>
        <v>0</v>
      </c>
      <c r="H55" s="35">
        <f t="shared" si="23"/>
        <v>0</v>
      </c>
      <c r="I55" s="33">
        <f t="shared" si="24"/>
        <v>0</v>
      </c>
      <c r="J55" s="35">
        <f t="shared" si="25"/>
        <v>0</v>
      </c>
      <c r="K55" s="33">
        <f t="shared" si="26"/>
        <v>0</v>
      </c>
      <c r="L55" s="33">
        <f t="shared" si="27"/>
        <v>0</v>
      </c>
      <c r="M55" s="29"/>
      <c r="N55" s="31" t="s">
        <v>69</v>
      </c>
      <c r="O55" s="39" t="e">
        <f>(D55/D67-1)*100-E33*0.9</f>
        <v>#DIV/0!</v>
      </c>
      <c r="P55" s="29"/>
      <c r="Q55" s="31"/>
    </row>
    <row r="56" spans="1:17" x14ac:dyDescent="0.15">
      <c r="A56" s="31" t="s">
        <v>73</v>
      </c>
      <c r="B56" s="33" t="s">
        <v>74</v>
      </c>
      <c r="C56" s="34">
        <f t="shared" si="18"/>
        <v>0</v>
      </c>
      <c r="D56" s="33">
        <f t="shared" si="19"/>
        <v>0</v>
      </c>
      <c r="E56" s="33">
        <f t="shared" si="20"/>
        <v>0</v>
      </c>
      <c r="F56" s="35">
        <f t="shared" si="21"/>
        <v>0</v>
      </c>
      <c r="G56" s="33">
        <f t="shared" si="22"/>
        <v>0</v>
      </c>
      <c r="H56" s="35">
        <f t="shared" si="23"/>
        <v>0</v>
      </c>
      <c r="I56" s="33">
        <f t="shared" si="24"/>
        <v>0</v>
      </c>
      <c r="J56" s="35">
        <f t="shared" si="25"/>
        <v>0</v>
      </c>
      <c r="K56" s="33">
        <f t="shared" si="26"/>
        <v>0</v>
      </c>
      <c r="L56" s="33">
        <f t="shared" si="27"/>
        <v>0</v>
      </c>
      <c r="M56" s="29"/>
      <c r="N56" s="31" t="s">
        <v>73</v>
      </c>
      <c r="O56" s="39" t="e">
        <f>(D56/D68-1)*100-E38*0.9</f>
        <v>#DIV/0!</v>
      </c>
      <c r="P56" s="29"/>
      <c r="Q56" s="31"/>
    </row>
    <row r="57" spans="1:17" x14ac:dyDescent="0.15">
      <c r="A57" s="31" t="s">
        <v>77</v>
      </c>
      <c r="B57" s="33" t="s">
        <v>78</v>
      </c>
      <c r="C57" s="34">
        <f t="shared" si="18"/>
        <v>0</v>
      </c>
      <c r="D57" s="33">
        <f t="shared" si="19"/>
        <v>0</v>
      </c>
      <c r="E57" s="33">
        <f t="shared" si="20"/>
        <v>0</v>
      </c>
      <c r="F57" s="35">
        <f t="shared" si="21"/>
        <v>0</v>
      </c>
      <c r="G57" s="33">
        <f t="shared" si="22"/>
        <v>0</v>
      </c>
      <c r="H57" s="35">
        <f t="shared" si="23"/>
        <v>0</v>
      </c>
      <c r="I57" s="33">
        <f t="shared" si="24"/>
        <v>0</v>
      </c>
      <c r="J57" s="35">
        <f t="shared" si="25"/>
        <v>0</v>
      </c>
      <c r="K57" s="33">
        <f t="shared" si="26"/>
        <v>0</v>
      </c>
      <c r="L57" s="33">
        <f t="shared" si="27"/>
        <v>0</v>
      </c>
      <c r="M57" s="29"/>
      <c r="N57" s="31" t="s">
        <v>77</v>
      </c>
      <c r="O57" s="39" t="e">
        <f>(D57/D69-1)*100-E38*0.9</f>
        <v>#DIV/0!</v>
      </c>
      <c r="P57" s="29"/>
      <c r="Q57" s="31"/>
    </row>
    <row r="58" spans="1:17" x14ac:dyDescent="0.15">
      <c r="A58" s="31" t="s">
        <v>81</v>
      </c>
      <c r="B58" s="33" t="s">
        <v>82</v>
      </c>
      <c r="C58" s="34">
        <f t="shared" si="18"/>
        <v>0</v>
      </c>
      <c r="D58" s="33">
        <f t="shared" si="19"/>
        <v>0</v>
      </c>
      <c r="E58" s="33">
        <f t="shared" si="20"/>
        <v>0</v>
      </c>
      <c r="F58" s="35">
        <f t="shared" si="21"/>
        <v>0</v>
      </c>
      <c r="G58" s="33">
        <f t="shared" si="22"/>
        <v>0</v>
      </c>
      <c r="H58" s="35">
        <f t="shared" si="23"/>
        <v>0</v>
      </c>
      <c r="I58" s="33">
        <f t="shared" si="24"/>
        <v>0</v>
      </c>
      <c r="J58" s="35">
        <f t="shared" si="25"/>
        <v>0</v>
      </c>
      <c r="K58" s="33">
        <f t="shared" si="26"/>
        <v>0</v>
      </c>
      <c r="L58" s="33">
        <f t="shared" si="27"/>
        <v>0</v>
      </c>
      <c r="M58" s="29"/>
      <c r="N58" s="31" t="s">
        <v>81</v>
      </c>
      <c r="O58" s="39" t="e">
        <f>(D58/D70-1)*100-E33*0.9</f>
        <v>#DIV/0!</v>
      </c>
      <c r="P58" s="29"/>
      <c r="Q58" s="31"/>
    </row>
    <row r="59" spans="1:17" x14ac:dyDescent="0.15">
      <c r="A59" s="31" t="s">
        <v>85</v>
      </c>
      <c r="B59" s="33" t="s">
        <v>86</v>
      </c>
      <c r="C59" s="34">
        <f t="shared" si="18"/>
        <v>0</v>
      </c>
      <c r="D59" s="33">
        <f t="shared" si="19"/>
        <v>0</v>
      </c>
      <c r="E59" s="33">
        <f t="shared" si="20"/>
        <v>0</v>
      </c>
      <c r="F59" s="36">
        <f t="shared" si="21"/>
        <v>0</v>
      </c>
      <c r="G59" s="33">
        <f t="shared" si="22"/>
        <v>0</v>
      </c>
      <c r="H59" s="36">
        <f t="shared" si="23"/>
        <v>0</v>
      </c>
      <c r="I59" s="33">
        <f t="shared" si="24"/>
        <v>0</v>
      </c>
      <c r="J59" s="36">
        <f t="shared" si="25"/>
        <v>0</v>
      </c>
      <c r="K59" s="33">
        <f t="shared" si="26"/>
        <v>0</v>
      </c>
      <c r="L59" s="33">
        <f t="shared" si="27"/>
        <v>0</v>
      </c>
      <c r="M59" s="29"/>
      <c r="N59" s="31" t="s">
        <v>85</v>
      </c>
      <c r="O59" s="39" t="e">
        <f>(D59/D60-1)*100-E50*0.9</f>
        <v>#DIV/0!</v>
      </c>
      <c r="P59" s="29"/>
      <c r="Q59" s="31"/>
    </row>
    <row r="60" spans="1:17" x14ac:dyDescent="0.15">
      <c r="A60" s="31" t="s">
        <v>430</v>
      </c>
      <c r="B60" s="33" t="s">
        <v>431</v>
      </c>
      <c r="C60" s="34">
        <f t="shared" si="18"/>
        <v>0</v>
      </c>
      <c r="D60" s="33">
        <f t="shared" si="19"/>
        <v>0</v>
      </c>
      <c r="E60" s="33">
        <f t="shared" si="20"/>
        <v>0</v>
      </c>
      <c r="F60" s="33">
        <f t="shared" si="21"/>
        <v>0</v>
      </c>
      <c r="G60" s="33">
        <f t="shared" si="22"/>
        <v>0</v>
      </c>
      <c r="H60" s="33">
        <f t="shared" si="23"/>
        <v>0</v>
      </c>
      <c r="I60" s="33">
        <f t="shared" si="24"/>
        <v>0</v>
      </c>
      <c r="J60" s="33">
        <f t="shared" si="25"/>
        <v>0</v>
      </c>
      <c r="K60" s="33">
        <f t="shared" si="26"/>
        <v>0</v>
      </c>
      <c r="L60" s="33">
        <f t="shared" si="27"/>
        <v>0</v>
      </c>
      <c r="M60" s="29"/>
      <c r="N60" s="31"/>
      <c r="O60" s="39"/>
      <c r="P60" s="29"/>
      <c r="Q60" s="31"/>
    </row>
    <row r="61" spans="1:17" x14ac:dyDescent="0.15">
      <c r="A61" s="31" t="s">
        <v>432</v>
      </c>
      <c r="B61" s="33" t="s">
        <v>433</v>
      </c>
      <c r="C61" s="34">
        <f t="shared" si="18"/>
        <v>0</v>
      </c>
      <c r="D61" s="33">
        <f t="shared" si="19"/>
        <v>0</v>
      </c>
      <c r="E61" s="33">
        <f t="shared" si="20"/>
        <v>0</v>
      </c>
      <c r="F61" s="35">
        <f t="shared" si="21"/>
        <v>0</v>
      </c>
      <c r="G61" s="33">
        <f t="shared" si="22"/>
        <v>0</v>
      </c>
      <c r="H61" s="35">
        <f t="shared" si="23"/>
        <v>0</v>
      </c>
      <c r="I61" s="33">
        <f t="shared" si="24"/>
        <v>0</v>
      </c>
      <c r="J61" s="35">
        <f t="shared" si="25"/>
        <v>0</v>
      </c>
      <c r="K61" s="33">
        <f t="shared" si="26"/>
        <v>0</v>
      </c>
      <c r="L61" s="33">
        <f t="shared" si="27"/>
        <v>0</v>
      </c>
      <c r="M61" s="29"/>
      <c r="N61" s="29"/>
      <c r="O61" s="42" t="e">
        <f>1.472/D61-1</f>
        <v>#DIV/0!</v>
      </c>
      <c r="P61" s="29"/>
      <c r="Q61" s="31"/>
    </row>
    <row r="62" spans="1:17" x14ac:dyDescent="0.15">
      <c r="A62" s="31" t="s">
        <v>434</v>
      </c>
      <c r="B62" s="33" t="s">
        <v>435</v>
      </c>
      <c r="C62" s="34">
        <f t="shared" si="18"/>
        <v>0</v>
      </c>
      <c r="D62" s="33">
        <f t="shared" si="19"/>
        <v>0</v>
      </c>
      <c r="E62" s="33">
        <f t="shared" si="20"/>
        <v>0</v>
      </c>
      <c r="F62" s="35">
        <f t="shared" si="21"/>
        <v>0</v>
      </c>
      <c r="G62" s="33">
        <f t="shared" si="22"/>
        <v>0</v>
      </c>
      <c r="H62" s="35">
        <f t="shared" si="23"/>
        <v>0</v>
      </c>
      <c r="I62" s="33">
        <f t="shared" si="24"/>
        <v>0</v>
      </c>
      <c r="J62" s="35">
        <f t="shared" si="25"/>
        <v>0</v>
      </c>
      <c r="K62" s="33">
        <f t="shared" si="26"/>
        <v>0</v>
      </c>
      <c r="L62" s="33">
        <f t="shared" si="27"/>
        <v>0</v>
      </c>
      <c r="M62" s="29"/>
      <c r="N62" s="29"/>
      <c r="O62" s="39"/>
      <c r="P62" s="29"/>
      <c r="Q62" s="29"/>
    </row>
    <row r="63" spans="1:17" x14ac:dyDescent="0.15">
      <c r="A63" s="31" t="s">
        <v>436</v>
      </c>
      <c r="B63" s="33" t="s">
        <v>437</v>
      </c>
      <c r="C63" s="34">
        <f t="shared" si="18"/>
        <v>0</v>
      </c>
      <c r="D63" s="33">
        <f t="shared" si="19"/>
        <v>0</v>
      </c>
      <c r="E63" s="33">
        <f t="shared" si="20"/>
        <v>0</v>
      </c>
      <c r="F63" s="35">
        <f t="shared" si="21"/>
        <v>0</v>
      </c>
      <c r="G63" s="33">
        <f t="shared" si="22"/>
        <v>0</v>
      </c>
      <c r="H63" s="35">
        <f t="shared" si="23"/>
        <v>0</v>
      </c>
      <c r="I63" s="33">
        <f t="shared" si="24"/>
        <v>0</v>
      </c>
      <c r="J63" s="35">
        <f t="shared" si="25"/>
        <v>0</v>
      </c>
      <c r="K63" s="33">
        <f t="shared" si="26"/>
        <v>0</v>
      </c>
      <c r="L63" s="33">
        <f t="shared" si="27"/>
        <v>0</v>
      </c>
      <c r="M63" s="29"/>
      <c r="N63" s="29"/>
      <c r="O63" s="39"/>
      <c r="P63" s="29"/>
      <c r="Q63" s="29"/>
    </row>
    <row r="64" spans="1:17" x14ac:dyDescent="0.15">
      <c r="A64" s="31" t="s">
        <v>438</v>
      </c>
      <c r="B64" s="33" t="s">
        <v>439</v>
      </c>
      <c r="C64" s="34">
        <f t="shared" si="18"/>
        <v>0</v>
      </c>
      <c r="D64" s="33">
        <f t="shared" si="19"/>
        <v>0</v>
      </c>
      <c r="E64" s="33">
        <f t="shared" si="20"/>
        <v>0</v>
      </c>
      <c r="F64" s="35">
        <f t="shared" si="21"/>
        <v>0</v>
      </c>
      <c r="G64" s="33">
        <f t="shared" si="22"/>
        <v>0</v>
      </c>
      <c r="H64" s="35">
        <f t="shared" si="23"/>
        <v>0</v>
      </c>
      <c r="I64" s="33">
        <f t="shared" si="24"/>
        <v>0</v>
      </c>
      <c r="J64" s="35">
        <f t="shared" si="25"/>
        <v>0</v>
      </c>
      <c r="K64" s="33">
        <f t="shared" si="26"/>
        <v>0</v>
      </c>
      <c r="L64" s="33">
        <f t="shared" si="27"/>
        <v>0</v>
      </c>
      <c r="M64" s="29"/>
      <c r="N64" s="29"/>
      <c r="O64" s="39"/>
      <c r="P64" s="29"/>
      <c r="Q64" s="29"/>
    </row>
    <row r="65" spans="1:17" x14ac:dyDescent="0.15">
      <c r="A65" s="31" t="s">
        <v>440</v>
      </c>
      <c r="B65" s="33" t="s">
        <v>441</v>
      </c>
      <c r="C65" s="34">
        <f t="shared" si="18"/>
        <v>0</v>
      </c>
      <c r="D65" s="33">
        <f t="shared" si="19"/>
        <v>0</v>
      </c>
      <c r="E65" s="33">
        <f t="shared" si="20"/>
        <v>0</v>
      </c>
      <c r="F65" s="35">
        <f t="shared" si="21"/>
        <v>0</v>
      </c>
      <c r="G65" s="33">
        <f t="shared" si="22"/>
        <v>0</v>
      </c>
      <c r="H65" s="35">
        <f t="shared" si="23"/>
        <v>0</v>
      </c>
      <c r="I65" s="33">
        <f t="shared" si="24"/>
        <v>0</v>
      </c>
      <c r="J65" s="35">
        <f t="shared" si="25"/>
        <v>0</v>
      </c>
      <c r="K65" s="33">
        <f t="shared" si="26"/>
        <v>0</v>
      </c>
      <c r="L65" s="33">
        <f t="shared" si="27"/>
        <v>0</v>
      </c>
      <c r="M65" s="29"/>
      <c r="N65" s="29"/>
      <c r="O65" s="39"/>
      <c r="P65" s="29"/>
      <c r="Q65" s="29"/>
    </row>
    <row r="66" spans="1:17" x14ac:dyDescent="0.15">
      <c r="A66" s="31" t="s">
        <v>442</v>
      </c>
      <c r="B66" s="33" t="s">
        <v>443</v>
      </c>
      <c r="C66" s="34">
        <f t="shared" si="18"/>
        <v>0</v>
      </c>
      <c r="D66" s="33">
        <f t="shared" si="19"/>
        <v>0</v>
      </c>
      <c r="E66" s="33">
        <f t="shared" si="20"/>
        <v>0</v>
      </c>
      <c r="F66" s="35">
        <f t="shared" si="21"/>
        <v>0</v>
      </c>
      <c r="G66" s="33">
        <f t="shared" si="22"/>
        <v>0</v>
      </c>
      <c r="H66" s="35">
        <f t="shared" si="23"/>
        <v>0</v>
      </c>
      <c r="I66" s="33">
        <f t="shared" si="24"/>
        <v>0</v>
      </c>
      <c r="J66" s="35">
        <f t="shared" si="25"/>
        <v>0</v>
      </c>
      <c r="K66" s="33">
        <f t="shared" si="26"/>
        <v>0</v>
      </c>
      <c r="L66" s="33">
        <f t="shared" si="27"/>
        <v>0</v>
      </c>
      <c r="M66" s="29"/>
      <c r="N66" s="29"/>
      <c r="O66" s="39"/>
      <c r="P66" s="29"/>
      <c r="Q66" s="29"/>
    </row>
    <row r="67" spans="1:17" x14ac:dyDescent="0.15">
      <c r="A67" s="31" t="s">
        <v>444</v>
      </c>
      <c r="B67" s="33" t="s">
        <v>445</v>
      </c>
      <c r="C67" s="34">
        <f t="shared" si="18"/>
        <v>0</v>
      </c>
      <c r="D67" s="33">
        <f t="shared" si="19"/>
        <v>0</v>
      </c>
      <c r="E67" s="33">
        <f t="shared" si="20"/>
        <v>0</v>
      </c>
      <c r="F67" s="35">
        <f t="shared" si="21"/>
        <v>0</v>
      </c>
      <c r="G67" s="33">
        <f t="shared" si="22"/>
        <v>0</v>
      </c>
      <c r="H67" s="35">
        <f t="shared" si="23"/>
        <v>0</v>
      </c>
      <c r="I67" s="33">
        <f t="shared" si="24"/>
        <v>0</v>
      </c>
      <c r="J67" s="35">
        <f t="shared" si="25"/>
        <v>0</v>
      </c>
      <c r="K67" s="33">
        <f t="shared" si="26"/>
        <v>0</v>
      </c>
      <c r="L67" s="33">
        <f t="shared" si="27"/>
        <v>0</v>
      </c>
      <c r="M67" s="29"/>
      <c r="N67" s="29"/>
      <c r="O67" s="39"/>
      <c r="P67" s="29"/>
      <c r="Q67" s="29"/>
    </row>
    <row r="68" spans="1:17" x14ac:dyDescent="0.15">
      <c r="A68" s="31" t="s">
        <v>446</v>
      </c>
      <c r="B68" s="33" t="s">
        <v>447</v>
      </c>
      <c r="C68" s="34">
        <f t="shared" si="18"/>
        <v>0</v>
      </c>
      <c r="D68" s="33">
        <f t="shared" si="19"/>
        <v>0</v>
      </c>
      <c r="E68" s="33">
        <f t="shared" si="20"/>
        <v>0</v>
      </c>
      <c r="F68" s="35">
        <f t="shared" si="21"/>
        <v>0</v>
      </c>
      <c r="G68" s="33">
        <f t="shared" si="22"/>
        <v>0</v>
      </c>
      <c r="H68" s="35">
        <f t="shared" si="23"/>
        <v>0</v>
      </c>
      <c r="I68" s="33">
        <f t="shared" si="24"/>
        <v>0</v>
      </c>
      <c r="J68" s="35">
        <f t="shared" si="25"/>
        <v>0</v>
      </c>
      <c r="K68" s="33">
        <f t="shared" si="26"/>
        <v>0</v>
      </c>
      <c r="L68" s="33">
        <f t="shared" si="27"/>
        <v>0</v>
      </c>
      <c r="M68" s="29"/>
      <c r="N68" s="29"/>
      <c r="O68" s="39"/>
      <c r="P68" s="29"/>
      <c r="Q68" s="29"/>
    </row>
    <row r="69" spans="1:17" x14ac:dyDescent="0.15">
      <c r="A69" s="31" t="s">
        <v>448</v>
      </c>
      <c r="B69" s="33" t="s">
        <v>449</v>
      </c>
      <c r="C69" s="34">
        <f t="shared" si="18"/>
        <v>0</v>
      </c>
      <c r="D69" s="33">
        <f t="shared" si="19"/>
        <v>0</v>
      </c>
      <c r="E69" s="33">
        <f t="shared" si="20"/>
        <v>0</v>
      </c>
      <c r="F69" s="35">
        <f t="shared" si="21"/>
        <v>0</v>
      </c>
      <c r="G69" s="33">
        <f t="shared" si="22"/>
        <v>0</v>
      </c>
      <c r="H69" s="35">
        <f t="shared" si="23"/>
        <v>0</v>
      </c>
      <c r="I69" s="33">
        <f t="shared" si="24"/>
        <v>0</v>
      </c>
      <c r="J69" s="35">
        <f t="shared" si="25"/>
        <v>0</v>
      </c>
      <c r="K69" s="33">
        <f t="shared" si="26"/>
        <v>0</v>
      </c>
      <c r="L69" s="33">
        <f t="shared" si="27"/>
        <v>0</v>
      </c>
      <c r="M69" s="29"/>
      <c r="N69" s="29"/>
      <c r="O69" s="39"/>
      <c r="P69" s="29"/>
      <c r="Q69" s="29"/>
    </row>
    <row r="70" spans="1:17" x14ac:dyDescent="0.15">
      <c r="A70" s="31" t="s">
        <v>450</v>
      </c>
      <c r="B70" s="33" t="s">
        <v>451</v>
      </c>
      <c r="C70" s="34">
        <f t="shared" si="18"/>
        <v>0</v>
      </c>
      <c r="D70" s="33">
        <f t="shared" si="19"/>
        <v>0</v>
      </c>
      <c r="E70" s="33">
        <f t="shared" si="20"/>
        <v>0</v>
      </c>
      <c r="F70" s="35">
        <f t="shared" si="21"/>
        <v>0</v>
      </c>
      <c r="G70" s="33">
        <f t="shared" si="22"/>
        <v>0</v>
      </c>
      <c r="H70" s="35">
        <f t="shared" si="23"/>
        <v>0</v>
      </c>
      <c r="I70" s="33">
        <f t="shared" si="24"/>
        <v>0</v>
      </c>
      <c r="J70" s="35">
        <f t="shared" si="25"/>
        <v>0</v>
      </c>
      <c r="K70" s="33">
        <f t="shared" si="26"/>
        <v>0</v>
      </c>
      <c r="L70" s="33">
        <f t="shared" si="27"/>
        <v>0</v>
      </c>
      <c r="M70" s="29"/>
      <c r="N70" s="29"/>
      <c r="O70" s="39"/>
      <c r="P70" s="29"/>
      <c r="Q70" s="29"/>
    </row>
  </sheetData>
  <phoneticPr fontId="3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9"/>
  <sheetViews>
    <sheetView tabSelected="1" zoomScale="130" zoomScaleNormal="130" workbookViewId="0">
      <selection activeCell="L12" sqref="L12"/>
    </sheetView>
  </sheetViews>
  <sheetFormatPr defaultColWidth="9" defaultRowHeight="13.5" x14ac:dyDescent="0.15"/>
  <cols>
    <col min="1" max="1" width="10.125" customWidth="1"/>
  </cols>
  <sheetData>
    <row r="1" spans="1:13" x14ac:dyDescent="0.15">
      <c r="A1" s="1" t="s">
        <v>452</v>
      </c>
      <c r="B1" s="2" t="s">
        <v>453</v>
      </c>
      <c r="C1" s="3" t="s">
        <v>454</v>
      </c>
      <c r="D1" s="4" t="s">
        <v>455</v>
      </c>
      <c r="E1" s="5" t="s">
        <v>456</v>
      </c>
      <c r="F1" s="5" t="s">
        <v>457</v>
      </c>
      <c r="G1" s="6" t="s">
        <v>458</v>
      </c>
      <c r="H1" s="7" t="s">
        <v>459</v>
      </c>
      <c r="I1" s="14" t="s">
        <v>460</v>
      </c>
      <c r="J1" s="14" t="s">
        <v>461</v>
      </c>
      <c r="K1" s="15" t="s">
        <v>462</v>
      </c>
      <c r="L1" s="16" t="s">
        <v>463</v>
      </c>
      <c r="M1" s="17" t="s">
        <v>464</v>
      </c>
    </row>
    <row r="2" spans="1:13" x14ac:dyDescent="0.15">
      <c r="A2" s="8" t="s">
        <v>465</v>
      </c>
      <c r="B2" s="9" t="s">
        <v>466</v>
      </c>
      <c r="C2" s="10">
        <v>1.0609999999999999</v>
      </c>
      <c r="D2" s="11">
        <f>J2/I2-1</f>
        <v>-6.3671534826615916E-3</v>
      </c>
      <c r="E2" s="11">
        <v>-2.9999999999999997E-4</v>
      </c>
      <c r="F2" s="11">
        <v>1.4E-3</v>
      </c>
      <c r="G2" s="10">
        <f>C2*(1+D2*0.95)*(1+E2)</f>
        <v>1.0542658529788571</v>
      </c>
      <c r="H2" s="10">
        <f>G2*(1+F2)*(1+(K2/J2-1)*0.95)</f>
        <v>1.1131435070862254</v>
      </c>
      <c r="I2" s="18">
        <v>12608.46</v>
      </c>
      <c r="J2" s="18">
        <v>12528.18</v>
      </c>
      <c r="K2" s="19" cm="1">
        <f t="array" ref="K2">get_T_germany_now_index()</f>
        <v>13245.2</v>
      </c>
      <c r="L2" s="20" cm="1">
        <f t="array" ref="L2">get_T_germany_ETF()</f>
        <v>1.125</v>
      </c>
      <c r="M2" s="11">
        <f>L2/H2-1</f>
        <v>1.0651360618192163E-2</v>
      </c>
    </row>
    <row r="3" spans="1:13" x14ac:dyDescent="0.15">
      <c r="A3" s="12" t="s">
        <v>467</v>
      </c>
      <c r="B3" s="13" t="s">
        <v>468</v>
      </c>
      <c r="C3" s="10">
        <v>2.2761</v>
      </c>
      <c r="D3" s="11" t="e">
        <f>J3/I3-1</f>
        <v>#REF!</v>
      </c>
      <c r="E3" s="11" t="e">
        <f>#REF!</f>
        <v>#REF!</v>
      </c>
      <c r="F3" s="11" t="e">
        <f>#REF!</f>
        <v>#REF!</v>
      </c>
      <c r="G3" s="10" t="e">
        <f>C3*(1+D3*0.95)*(1+E3)</f>
        <v>#REF!</v>
      </c>
      <c r="H3" s="10" t="e">
        <f>G3*(1+F3)*(1+(K3/J3-1)*0.95)</f>
        <v>#REF!</v>
      </c>
      <c r="I3" s="18">
        <v>10341.89</v>
      </c>
      <c r="J3" s="18" t="e">
        <f>#REF!</f>
        <v>#REF!</v>
      </c>
      <c r="K3" s="21" cm="1">
        <f t="array" ref="K3">get_T_na100_index()</f>
        <v>11365.88</v>
      </c>
      <c r="L3" s="20" cm="1">
        <f t="array" ref="L3">get_T_na159941_ETF()</f>
        <v>2.75</v>
      </c>
      <c r="M3" s="11" t="e">
        <f>L3/H3-1</f>
        <v>#REF!</v>
      </c>
    </row>
    <row r="4" spans="1:13" x14ac:dyDescent="0.15">
      <c r="A4" s="8" t="s">
        <v>10</v>
      </c>
      <c r="B4" s="8" t="s">
        <v>13</v>
      </c>
      <c r="C4" s="10"/>
      <c r="D4" s="11"/>
      <c r="E4" s="11"/>
      <c r="F4" s="11"/>
      <c r="G4" s="10"/>
      <c r="H4" s="10"/>
      <c r="I4" s="18"/>
      <c r="J4" s="18"/>
      <c r="K4" s="21" cm="1">
        <f t="array" ref="K4">get_T_na100_index()</f>
        <v>11365.88</v>
      </c>
      <c r="L4" s="20" cm="1">
        <f t="array" ref="L4">get_T_na513100_ETF()</f>
        <v>4.657</v>
      </c>
      <c r="M4" s="11"/>
    </row>
    <row r="5" spans="1:13" x14ac:dyDescent="0.15">
      <c r="A5" s="8" t="s">
        <v>400</v>
      </c>
      <c r="B5" s="8" t="s">
        <v>469</v>
      </c>
      <c r="C5" s="10">
        <v>1.0274000000000001</v>
      </c>
      <c r="D5" s="11">
        <f>J5/I5-1</f>
        <v>-8.3653834728223408E-3</v>
      </c>
      <c r="E5" s="11">
        <f>E2</f>
        <v>-2.9999999999999997E-4</v>
      </c>
      <c r="F5" s="11">
        <f>F2</f>
        <v>1.4E-3</v>
      </c>
      <c r="G5" s="10">
        <f>C5*(1+D5*0.95)*(1+E5)</f>
        <v>1.0189293642285906</v>
      </c>
      <c r="H5" s="10">
        <f>G5*(1+F5)*(1+(K2/J2-1)*0.95)</f>
        <v>1.0758335791354685</v>
      </c>
      <c r="I5" s="18">
        <v>5049.38</v>
      </c>
      <c r="J5" s="18">
        <v>5007.1400000000003</v>
      </c>
      <c r="K5" s="21" cm="1">
        <f t="array" ref="K5">get_T_CAC_index()</f>
        <v>5042.9799999999996</v>
      </c>
      <c r="L5" s="20" cm="1">
        <f t="array" ref="L5">get_T_CAC_ETF()</f>
        <v>1.042</v>
      </c>
      <c r="M5" s="11">
        <f>L5/H5-1</f>
        <v>-3.1448710833748894E-2</v>
      </c>
    </row>
    <row r="6" spans="1:13" x14ac:dyDescent="0.15">
      <c r="A6" s="8" t="s">
        <v>12</v>
      </c>
      <c r="B6" s="8" t="s">
        <v>11</v>
      </c>
      <c r="K6" s="22" cm="1">
        <f t="array" ref="K6">get_T_biaopu500_index()</f>
        <v>3390.88</v>
      </c>
      <c r="L6" s="22" cm="1">
        <f t="array" ref="L6">get_T_biaopu500_ETF()</f>
        <v>2.2010000000000001</v>
      </c>
    </row>
    <row r="7" spans="1:13" x14ac:dyDescent="0.15">
      <c r="A7" s="8" t="s">
        <v>88</v>
      </c>
      <c r="B7" s="8" t="s">
        <v>87</v>
      </c>
      <c r="K7" s="22" cm="1">
        <f t="array" ref="K7">get_T_japan_now_index()</f>
        <v>23017.5</v>
      </c>
      <c r="L7" s="22" cm="1">
        <f t="array" ref="L7">get_T_japan513000_ETF()</f>
        <v>1.0960000000000001</v>
      </c>
    </row>
    <row r="8" spans="1:13" x14ac:dyDescent="0.15">
      <c r="A8" s="8" t="s">
        <v>92</v>
      </c>
      <c r="B8" s="8" t="s">
        <v>91</v>
      </c>
      <c r="K8" s="22" cm="1">
        <f t="array" ref="K8">get_T_japan_now_index()</f>
        <v>23017.5</v>
      </c>
      <c r="L8" s="22" cm="1">
        <f t="array" ref="L8">get_T_japan513520_ETF()</f>
        <v>1.0900000000000001</v>
      </c>
    </row>
    <row r="9" spans="1:13" x14ac:dyDescent="0.15">
      <c r="A9" s="8" t="s">
        <v>96</v>
      </c>
      <c r="B9" s="8" t="s">
        <v>95</v>
      </c>
      <c r="K9" s="22" cm="1">
        <f t="array" ref="K9">get_T_japan_now_index()</f>
        <v>23017.5</v>
      </c>
      <c r="L9" s="22" cm="1">
        <f t="array" ref="L9">get_T_japan513880_ETF()</f>
        <v>1.0640000000000001</v>
      </c>
    </row>
  </sheetData>
  <phoneticPr fontId="30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主监控</vt:lpstr>
      <vt:lpstr>监控</vt:lpstr>
      <vt:lpstr>实时行情7</vt:lpstr>
      <vt:lpstr>164906</vt:lpstr>
      <vt:lpstr>513050</vt:lpstr>
      <vt:lpstr>两市场交易</vt:lpstr>
      <vt:lpstr>仓位</vt:lpstr>
      <vt:lpstr>跨境</vt:lpstr>
      <vt:lpstr>跨境基金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ZHANG</dc:creator>
  <cp:lastModifiedBy>Administrator</cp:lastModifiedBy>
  <dcterms:created xsi:type="dcterms:W3CDTF">2020-07-06T11:05:00Z</dcterms:created>
  <dcterms:modified xsi:type="dcterms:W3CDTF">2020-09-10T04:02:19Z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2052-11.1.0.9912</vt:lpwstr>
  </property>
  <property fmtid="{D5CDD505-2E9C-101B-9397-08002B2CF9AE}" pid="3" name="EM_Doc_Temp_ID">
    <vt:lpwstr>16e7f83c</vt:lpwstr>
  </property>
</Properties>
</file>